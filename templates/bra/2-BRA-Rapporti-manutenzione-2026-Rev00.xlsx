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VASSOIO\BRA\IP\Manutenzione IP\IP 2026\Allegati\"/>
    </mc:Choice>
  </mc:AlternateContent>
  <xr:revisionPtr revIDLastSave="0" documentId="13_ncr:1_{1E7B9AA6-BEA9-4794-9B31-BAF2BC2967D8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Elenco prezzi" sheetId="5" r:id="rId1"/>
    <sheet name="Intervento straordinario" sheetId="3" r:id="rId2"/>
    <sheet name="Nuovo Prezzo" sheetId="4" r:id="rId3"/>
  </sheets>
  <definedNames>
    <definedName name="_xlnm.Print_Titles" localSheetId="1">'Intervento straordinario'!$1:$11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3" l="1"/>
  <c r="D72" i="3"/>
  <c r="B69" i="3"/>
  <c r="A69" i="3" s="1"/>
  <c r="B57" i="3"/>
  <c r="A57" i="3" s="1"/>
  <c r="B58" i="3"/>
  <c r="A58" i="3" s="1"/>
  <c r="B59" i="3"/>
  <c r="A59" i="3" s="1"/>
  <c r="B60" i="3"/>
  <c r="A60" i="3" s="1"/>
  <c r="B61" i="3"/>
  <c r="A61" i="3" s="1"/>
  <c r="B62" i="3"/>
  <c r="A62" i="3" s="1"/>
  <c r="B63" i="3"/>
  <c r="A63" i="3" s="1"/>
  <c r="B64" i="3"/>
  <c r="A64" i="3" s="1"/>
  <c r="E64" i="3" s="1"/>
  <c r="B65" i="3"/>
  <c r="A65" i="3" s="1"/>
  <c r="B66" i="3"/>
  <c r="A66" i="3" s="1"/>
  <c r="B67" i="3"/>
  <c r="A67" i="3" s="1"/>
  <c r="B68" i="3"/>
  <c r="A68" i="3" s="1"/>
  <c r="B51" i="3"/>
  <c r="A51" i="3" s="1"/>
  <c r="B52" i="3"/>
  <c r="A52" i="3" s="1"/>
  <c r="B53" i="3"/>
  <c r="A53" i="3" s="1"/>
  <c r="B54" i="3"/>
  <c r="A54" i="3" s="1"/>
  <c r="B55" i="3"/>
  <c r="A55" i="3" s="1"/>
  <c r="B56" i="3"/>
  <c r="A56" i="3" s="1"/>
  <c r="B50" i="3"/>
  <c r="A50" i="3" s="1"/>
  <c r="A15" i="3"/>
  <c r="A34" i="3"/>
  <c r="A33" i="3"/>
  <c r="A17" i="3"/>
  <c r="E17" i="3" s="1"/>
  <c r="A18" i="3"/>
  <c r="A16" i="3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E34" i="3" l="1"/>
  <c r="F34" i="3" s="1"/>
  <c r="C34" i="3"/>
  <c r="E33" i="3"/>
  <c r="F33" i="3" s="1"/>
  <c r="C33" i="3"/>
  <c r="F17" i="3"/>
  <c r="C17" i="3"/>
  <c r="E18" i="3"/>
  <c r="F18" i="3" s="1"/>
  <c r="C18" i="3"/>
  <c r="E53" i="3"/>
  <c r="F53" i="3" s="1"/>
  <c r="C53" i="3"/>
  <c r="E54" i="3"/>
  <c r="F54" i="3" s="1"/>
  <c r="C54" i="3"/>
  <c r="C55" i="3"/>
  <c r="E55" i="3"/>
  <c r="F55" i="3" s="1"/>
  <c r="C16" i="3"/>
  <c r="E16" i="3"/>
  <c r="F16" i="3" s="1"/>
  <c r="E52" i="3"/>
  <c r="F52" i="3" s="1"/>
  <c r="C52" i="3"/>
  <c r="C50" i="3"/>
  <c r="E50" i="3"/>
  <c r="F50" i="3" s="1"/>
  <c r="E51" i="3"/>
  <c r="F51" i="3" s="1"/>
  <c r="C51" i="3"/>
  <c r="C56" i="3"/>
  <c r="E56" i="3"/>
  <c r="F56" i="3" s="1"/>
  <c r="C57" i="3"/>
  <c r="E57" i="3"/>
  <c r="F57" i="3" s="1"/>
  <c r="C58" i="3"/>
  <c r="E58" i="3"/>
  <c r="F58" i="3" s="1"/>
  <c r="C59" i="3"/>
  <c r="E59" i="3"/>
  <c r="F59" i="3" s="1"/>
  <c r="C60" i="3"/>
  <c r="E60" i="3"/>
  <c r="F60" i="3" s="1"/>
  <c r="C61" i="3"/>
  <c r="E61" i="3"/>
  <c r="F61" i="3" s="1"/>
  <c r="C62" i="3"/>
  <c r="E62" i="3"/>
  <c r="F62" i="3" s="1"/>
  <c r="E63" i="3"/>
  <c r="F63" i="3" s="1"/>
  <c r="C63" i="3"/>
  <c r="F64" i="3"/>
  <c r="C64" i="3"/>
  <c r="C65" i="3"/>
  <c r="E65" i="3"/>
  <c r="F65" i="3" s="1"/>
  <c r="C66" i="3"/>
  <c r="E66" i="3"/>
  <c r="F66" i="3" s="1"/>
  <c r="C67" i="3"/>
  <c r="E67" i="3"/>
  <c r="F67" i="3" s="1"/>
  <c r="C68" i="3"/>
  <c r="E68" i="3"/>
  <c r="F68" i="3" s="1"/>
  <c r="C69" i="3"/>
  <c r="E69" i="3"/>
  <c r="F69" i="3" s="1"/>
  <c r="E15" i="3"/>
  <c r="F15" i="3" s="1"/>
  <c r="C15" i="3"/>
  <c r="F29" i="4"/>
  <c r="F70" i="3" l="1"/>
  <c r="E71" i="3" l="1"/>
  <c r="F72" i="3" s="1"/>
  <c r="F73" i="3" s="1"/>
  <c r="A21" i="3" l="1"/>
  <c r="A22" i="3"/>
  <c r="A23" i="3"/>
  <c r="A24" i="3"/>
  <c r="A25" i="3"/>
  <c r="A26" i="3"/>
  <c r="A27" i="3"/>
  <c r="A28" i="3"/>
  <c r="A29" i="3"/>
  <c r="A30" i="3"/>
  <c r="A31" i="3"/>
  <c r="A32" i="3"/>
  <c r="A20" i="3"/>
  <c r="A19" i="3"/>
  <c r="C21" i="3" l="1"/>
  <c r="E21" i="3"/>
  <c r="F21" i="3" s="1"/>
  <c r="C22" i="3"/>
  <c r="E22" i="3"/>
  <c r="F22" i="3" s="1"/>
  <c r="C23" i="3"/>
  <c r="E23" i="3"/>
  <c r="F23" i="3" s="1"/>
  <c r="C24" i="3"/>
  <c r="E24" i="3"/>
  <c r="F24" i="3" s="1"/>
  <c r="C25" i="3"/>
  <c r="E25" i="3"/>
  <c r="F25" i="3" s="1"/>
  <c r="C26" i="3"/>
  <c r="E26" i="3"/>
  <c r="F26" i="3" s="1"/>
  <c r="C27" i="3"/>
  <c r="E27" i="3"/>
  <c r="F27" i="3" s="1"/>
  <c r="C28" i="3"/>
  <c r="E28" i="3"/>
  <c r="F28" i="3" s="1"/>
  <c r="C29" i="3"/>
  <c r="E29" i="3"/>
  <c r="F29" i="3" s="1"/>
  <c r="C30" i="3"/>
  <c r="E30" i="3"/>
  <c r="F30" i="3" s="1"/>
  <c r="C31" i="3"/>
  <c r="E31" i="3"/>
  <c r="F31" i="3" s="1"/>
  <c r="C32" i="3"/>
  <c r="E32" i="3"/>
  <c r="F32" i="3" s="1"/>
  <c r="C20" i="3"/>
  <c r="E20" i="3"/>
  <c r="F20" i="3" s="1"/>
  <c r="C19" i="3"/>
  <c r="E19" i="3"/>
  <c r="F19" i="3" s="1"/>
  <c r="F35" i="3" l="1"/>
  <c r="E36" i="3" s="1"/>
  <c r="F37" i="3" s="1"/>
  <c r="F38" i="3" s="1"/>
</calcChain>
</file>

<file path=xl/sharedStrings.xml><?xml version="1.0" encoding="utf-8"?>
<sst xmlns="http://schemas.openxmlformats.org/spreadsheetml/2006/main" count="268" uniqueCount="182">
  <si>
    <t>Descrizione</t>
  </si>
  <si>
    <t>Data segnalazione</t>
  </si>
  <si>
    <t>Quantità</t>
  </si>
  <si>
    <t>Tipo di chiamata</t>
  </si>
  <si>
    <t>Descrizione del guasto</t>
  </si>
  <si>
    <t>Tempistica prevista per l’esecuzione dell’intervento</t>
  </si>
  <si>
    <t>Firma della Ditta Appaltatrice</t>
  </si>
  <si>
    <t>Firma per Accettazione dell’UTC</t>
  </si>
  <si>
    <t>Rif.EP</t>
  </si>
  <si>
    <t>Annotazioni e descrizione intervento eseguito</t>
  </si>
  <si>
    <t>PREVENTIVO e quantificazione dell’intervento specificata con quantità e riferimento alle voci di elenco prezzi</t>
  </si>
  <si>
    <t>CONSUNTIVO dell’intervento specificato con quantità e riferimento alle voci di elenco prezzi</t>
  </si>
  <si>
    <t>Data di chiusura dell'intervento</t>
  </si>
  <si>
    <t>Rif. punto luce o punto di consegna</t>
  </si>
  <si>
    <t>Il presente preventivo sarà autorizzato solo se è presente la firma per accettazione dell'UTC. Eventuali interventi non autorizzati ma eseguiti non potranno essere liquidati.</t>
  </si>
  <si>
    <t>(*) L'importo dei lavori a consuntivo non potrà superare l'importo del preventivo, salvo previa approvazione dell'UTC.</t>
  </si>
  <si>
    <t>Timbro e firma di attestazione chiusura guasto, messa in sicurezza impianto, nonchè esecuzione dei lavori a regola d'arte</t>
  </si>
  <si>
    <t>Totale [€]</t>
  </si>
  <si>
    <t>Prezzo [€]</t>
  </si>
  <si>
    <t>PREVENTIVO TOTALE INTERVENTO [€]</t>
  </si>
  <si>
    <t>CONSUNTIVO TOTALE INTERVENTO (*) [€]</t>
  </si>
  <si>
    <t>NP - ANALISI NUOVO PREZZO</t>
  </si>
  <si>
    <t>Codice prezzo</t>
  </si>
  <si>
    <t>NP ….</t>
  </si>
  <si>
    <t>Data nuovo prezzo</t>
  </si>
  <si>
    <t>Descrizione prezzo</t>
  </si>
  <si>
    <t>Il presente Nuovo Prezzo sarà autorizzato solo se è presente la firma per accettazione dell'UTC. Eventuali interventi non autorizzati ma eseguiti non potranno essere liquidati.</t>
  </si>
  <si>
    <t>ANALISI del nuovo prezzo</t>
  </si>
  <si>
    <t>TOTALE NUOVO PREZZO [€]</t>
  </si>
  <si>
    <t>Per i nuovi prezzi si dovrà fare riferimento al Prezziario CC.I.AA Cuneo 2008. I prezzi saranno soggetti all'applicazione del ribasso d'asta.</t>
  </si>
  <si>
    <t>SCONTO APPLICATO</t>
  </si>
  <si>
    <t>PREVENTIVO TOTALE LORDO INTERVENTO [€]</t>
  </si>
  <si>
    <t>SCONTO [€]</t>
  </si>
  <si>
    <t>NP10</t>
  </si>
  <si>
    <t>NP11</t>
  </si>
  <si>
    <t>NP12</t>
  </si>
  <si>
    <t>NP13</t>
  </si>
  <si>
    <t>NP14</t>
  </si>
  <si>
    <t>NP15</t>
  </si>
  <si>
    <t>NP16</t>
  </si>
  <si>
    <t>NP17</t>
  </si>
  <si>
    <t>NP18</t>
  </si>
  <si>
    <t>NP19</t>
  </si>
  <si>
    <t>NP20</t>
  </si>
  <si>
    <t>NP21</t>
  </si>
  <si>
    <t>NP22</t>
  </si>
  <si>
    <t>NP23</t>
  </si>
  <si>
    <t>NP24</t>
  </si>
  <si>
    <t>NP25</t>
  </si>
  <si>
    <t>NP26</t>
  </si>
  <si>
    <t>NP27</t>
  </si>
  <si>
    <t>NP28</t>
  </si>
  <si>
    <t>NP29</t>
  </si>
  <si>
    <t>NP30</t>
  </si>
  <si>
    <t>NP31</t>
  </si>
  <si>
    <t>NP32</t>
  </si>
  <si>
    <t>NP33</t>
  </si>
  <si>
    <t>NP34</t>
  </si>
  <si>
    <t>NP35</t>
  </si>
  <si>
    <t>NP36</t>
  </si>
  <si>
    <t>NP37</t>
  </si>
  <si>
    <t>NP38</t>
  </si>
  <si>
    <t>NP39</t>
  </si>
  <si>
    <t>NP40</t>
  </si>
  <si>
    <t>NP41</t>
  </si>
  <si>
    <t>NP42</t>
  </si>
  <si>
    <t>NP43</t>
  </si>
  <si>
    <t>NP44</t>
  </si>
  <si>
    <t>NP45</t>
  </si>
  <si>
    <t>NP46</t>
  </si>
  <si>
    <t>NP47</t>
  </si>
  <si>
    <t>NP48</t>
  </si>
  <si>
    <t>NP49</t>
  </si>
  <si>
    <t>NP50</t>
  </si>
  <si>
    <t>Riferimento</t>
  </si>
  <si>
    <t>h</t>
  </si>
  <si>
    <t>m</t>
  </si>
  <si>
    <t>m²</t>
  </si>
  <si>
    <t>m³</t>
  </si>
  <si>
    <t>U.M.</t>
  </si>
  <si>
    <t>Unità di misura NP</t>
  </si>
  <si>
    <t>Manutenzione impianti di illuminazione pubblica 2026</t>
  </si>
  <si>
    <t>IMS - MODULO DI INTERVENTO PER INTERVENTI EXTRA CANONE E SINISTRI</t>
  </si>
  <si>
    <t>Prezzo unitario</t>
  </si>
  <si>
    <t>01.A22.B10.030</t>
  </si>
  <si>
    <t>Provvista e stesa a tappeto di conglomerato bituminoso pe ... teso a mano, per uno spessore finito compresso pari a cm 4</t>
  </si>
  <si>
    <t>06.A12.E04.010</t>
  </si>
  <si>
    <t>F.o. di pozzetto Realizzato in muratura di mattoni pieni  ... lta. F.O. di pozzetto 40x40x90 cm con chiusino 75 kg carr.</t>
  </si>
  <si>
    <t>cad</t>
  </si>
  <si>
    <t>13.P02.A35.005</t>
  </si>
  <si>
    <t>Scavo a sezione obbligata effettuato con mezzi meccanici  ... orto del materiale ad impianto di trattamento autorizzato;</t>
  </si>
  <si>
    <t>13.P02.B05.010</t>
  </si>
  <si>
    <t>Fornitura e posa in opera, in marciapiede e pavimentazion ... ito con cls RBK 15N/mmq-, delle dimensioni di 80x80x80 cm;</t>
  </si>
  <si>
    <t>13.P11.A20.055</t>
  </si>
  <si>
    <t>Provvista a piè d'opera di malta di cemento per sigillatura;</t>
  </si>
  <si>
    <t>13.P11.A20.060</t>
  </si>
  <si>
    <t>Provvista a piè d'opera di casseforme con legname a recupero comprese le armature di sostegno fino a 2 m di altezza;</t>
  </si>
  <si>
    <t>14.P01.A05.005</t>
  </si>
  <si>
    <t>Taglio, rottura, rimozione o svellimento di pavimentazion ... ta, con l'uso del tagliasfalto, in conglomerato bituminoso</t>
  </si>
  <si>
    <t>06.A01.A01.025</t>
  </si>
  <si>
    <t>F.O. Fornitura in opera, in tubi o canaline predisposte,  ... vo perfettamente funzionante. F.O. di cavo tipo FS17 1 x 6</t>
  </si>
  <si>
    <t>06.A01.E02.010</t>
  </si>
  <si>
    <t>F.O. Fornitura in opera, in tubi o canaline predisposte,  ... 6 o similari). F.O. di cavo tipo FG16OR16 0,6/1 kV 2 x 2,5</t>
  </si>
  <si>
    <t>06.A01.E04.020</t>
  </si>
  <si>
    <t>F.O. Fornitura in opera, in tubi o canaline predisposte,  ... R16 o similari). F.O. di cavo tipo FG16OR16 0,6/1 kV 4 x 6</t>
  </si>
  <si>
    <t>06.A01.E05.020</t>
  </si>
  <si>
    <t>F.O. Fornitura in opera, in tubi o canaline predisposte,  ... R16 o similari). F.O. di cavo tipo FG16OR16 0,6/1 kV 5 x 6</t>
  </si>
  <si>
    <t>06.A10.K01.020</t>
  </si>
  <si>
    <t>F.O. Fornitura in opera, a vista, di tubazione in ferro z ... a dei raccordi. F.O. di tubo ferro zincato rigido D. 32 mm</t>
  </si>
  <si>
    <t>06.P10.B04.025</t>
  </si>
  <si>
    <t>Tubazioni in polietilene per cavidotto interrato, resiste ... gli scavi. tubo corrugato doppia parete per cavidotto D.90</t>
  </si>
  <si>
    <t>06.P31.A01.010</t>
  </si>
  <si>
    <t>Corde di rame corda di rame da 35 mm²</t>
  </si>
  <si>
    <t>13.P01.B15.005</t>
  </si>
  <si>
    <t>Fornitura e posa in opera a parete, sino ad una altezza d ...  nero o grigio, fissata mediante gaffette pesanti zincate;</t>
  </si>
  <si>
    <t>13.P01.B15.010</t>
  </si>
  <si>
    <t>13.P01.C10.005</t>
  </si>
  <si>
    <t>Fornitura e posa in opera di tesata con fune in acciaio z ... etti serrafilo e manicotto antiscorrimento a compressione;</t>
  </si>
  <si>
    <t>13.P05.B05.050</t>
  </si>
  <si>
    <t>Fornitura e posa in opera di cavo tipo HO7V-R, sezione di ... rra)in cavidotto sotterraneo, tubo o palo già predisposti;</t>
  </si>
  <si>
    <t>06.A07.A02.055</t>
  </si>
  <si>
    <t>F.O. Fornitura in opera entro quadro o contenitore predis ... nti elettrici. F.O. di MT 6 kA curva C - 4P - da 10 a 32 A</t>
  </si>
  <si>
    <t>06.A07.B01.085</t>
  </si>
  <si>
    <t>F. O. Fornitura in opera di blocco differenziale da accop ... lettrici. F.O. di Bl.diff. 4P In &gt;= 32A cl.AC - 300/500 mA</t>
  </si>
  <si>
    <t>06.A07.E01.040</t>
  </si>
  <si>
    <t>F.O. Fornitura in opera di sezionatori portafusibili modu ... d i collegamenti elettrici. F.O. di portafusibili 14x51 4P</t>
  </si>
  <si>
    <t>06.A07.E03.010</t>
  </si>
  <si>
    <t>F.O. Fornitura in opera di fusibile cilindrico F.O. di fusibile cilindrico P.D.I.100 kA 10.3X 38 mm</t>
  </si>
  <si>
    <t>06.P07.A02.025</t>
  </si>
  <si>
    <t>Interruttore automatico magnetotermico (MT), tipo modular ... do norme CEI EN 60898. MT 6 kA curva C - 2P - da 10 a 32 A</t>
  </si>
  <si>
    <t>06.P07.B01.010</t>
  </si>
  <si>
    <t>Blocco differenziale da accoppiare ad interruttore magnet ... lternate sinusoidali). Bl.diff. 2P In &lt;= 25A cl.AC - 30 mA</t>
  </si>
  <si>
    <t>16.P04.A05.320</t>
  </si>
  <si>
    <t>'INTERRUTTORE CREPUSCOLARE Fornitura, posa in opera, alla ... o di protezione IP54, regolazione luminosa da 2 a 200 lux.</t>
  </si>
  <si>
    <t>13.P01.B30.010</t>
  </si>
  <si>
    <t>Fornitura e posa in opera di cassetta di derivazione, tip ... mm completa di coni pressacavo, fissata a parete o a palo;</t>
  </si>
  <si>
    <t>13.P03.A35.005</t>
  </si>
  <si>
    <t>Posa in opera, in basamento predisposto, di palo in accia ... ta per il fissaggio e l'eventuale trasporto dal magazzino;</t>
  </si>
  <si>
    <t>13.P04.A05.005</t>
  </si>
  <si>
    <t>Verniciatura di palo o braccio in opera o presso stabilim ... o di cui la prima RAL 6010 e la seconda a finire RAL 6009;</t>
  </si>
  <si>
    <t>13.P07.A05.005</t>
  </si>
  <si>
    <t>Posa in opera di apparecchio di illuminazione in stile su ... a della lampada e l'esecuzione dei collegamenti elettrici;</t>
  </si>
  <si>
    <t>13.P07.A05.010</t>
  </si>
  <si>
    <t>Posa in opera di apparecchio di illuminazione in stile o  ... a della lampada e l'esecuzione dei collegamenti elettrici;</t>
  </si>
  <si>
    <t>13.P07.B05.015</t>
  </si>
  <si>
    <t>Sostituzione di reattore e/o accenditore e/o condensatore ... accio a muro od a palo - a cima palo, a qualsiasi altezza:</t>
  </si>
  <si>
    <t>13.P08.A05.005</t>
  </si>
  <si>
    <t>Ricupero di apparecchio di illuminazione montato su palet ... gio dello stesso con il trasporto al magazzino di rientro;</t>
  </si>
  <si>
    <t>13.P08.A30.015</t>
  </si>
  <si>
    <t>Sfilaggio di palo senza demolizione del blocco di fondazi ... zzino di rientro o ad impianto di trattamento autorizzato;</t>
  </si>
  <si>
    <t>01.P01.A10.005</t>
  </si>
  <si>
    <t>Operaio specializzato Ore normali</t>
  </si>
  <si>
    <t>01.P01.A20.005</t>
  </si>
  <si>
    <t>Operaio qualificato Ore normali</t>
  </si>
  <si>
    <t>01.P01.A30.005</t>
  </si>
  <si>
    <t>Operaio comune Ore normali</t>
  </si>
  <si>
    <t>13.P11.B05.005</t>
  </si>
  <si>
    <t>Nolo di autocestello con elevazione sino a 16 m compresi  ... gli oneri relativi ad ogni ora di effettivo funzionamento;</t>
  </si>
  <si>
    <t>13.P11.B15.010</t>
  </si>
  <si>
    <t>Nolo di autocarro adatto per il trasporto di pali dotato  ... gli oneri relativi ad ogni ora di effettivo funzionamento;</t>
  </si>
  <si>
    <t>Descrizione articolo</t>
  </si>
  <si>
    <t>Tariffa</t>
  </si>
  <si>
    <t>Categoria</t>
  </si>
  <si>
    <t>MANUTENZIONE STRAORDINARIA</t>
  </si>
  <si>
    <t>Modello IMS - Rev. 01 del 01/2026</t>
  </si>
  <si>
    <t>di cui Incidenza Oneri Sicurezza (non soggetto a ribasso)</t>
  </si>
  <si>
    <t>A) SCAVI E OPERE EDILI</t>
  </si>
  <si>
    <t>X) NUOVI PREZZI</t>
  </si>
  <si>
    <t>C) QUADRI ELETTRICI</t>
  </si>
  <si>
    <t>D) MATERIALI VARI</t>
  </si>
  <si>
    <t>B) LINEE</t>
  </si>
  <si>
    <t>E) LAVORI VARI</t>
  </si>
  <si>
    <t>H) MANODOPERA E NOLI</t>
  </si>
  <si>
    <t>NP01</t>
  </si>
  <si>
    <t>NP02</t>
  </si>
  <si>
    <t>NP03</t>
  </si>
  <si>
    <t>NP04</t>
  </si>
  <si>
    <t>NP05</t>
  </si>
  <si>
    <t>NP06</t>
  </si>
  <si>
    <t>NP07</t>
  </si>
  <si>
    <t>NP08</t>
  </si>
  <si>
    <t>NP09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</si>
</sst>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_-&quot;€&quot;\ * #,##0.00_-;\-&quot;€&quot;\ * #,##0.00_-;_-&quot;€&quot;\ * &quot;-&quot;??_-;_-@_-"/>
    <numFmt numFmtId="165" formatCode="_-* #,##0.00_-;\-* #,##0.00_-;_-* &quot;-&quot;??_-;_-@_-"/>
  </numFmts>
  <fonts count="13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i/>
      <sz val="8"/>
      <name val="Arial Narrow"/>
      <family val="2"/>
    </font>
    <font>
      <sz val="9"/>
      <name val="Arial Narrow"/>
      <family val="2"/>
    </font>
    <font>
      <b/>
      <i/>
      <sz val="14"/>
      <name val="Arial Narrow"/>
      <family val="2"/>
    </font>
    <font>
      <b/>
      <sz val="12"/>
      <name val="Swis721 BdOul BT"/>
      <family val="5"/>
    </font>
    <font>
      <i/>
      <sz val="10"/>
      <name val="Arial"/>
      <family val="2"/>
    </font>
    <font>
      <b/>
      <sz val="10"/>
      <name val="Arial"/>
      <family val="2"/>
    </font>
    <font>
      <b/>
      <sz val="14"/>
      <name val="Arial Narrow"/>
      <family val="2"/>
    </font>
  </fonts>
  <fills count="11">
    <fill>
      <patternFill patternType="none"/>
    </fill>
    <fill>
      <patternFill patternType="gray125"/>
    </fill>
    <fill>
      <patternFill patternType="lightUp"/>
    </fill>
    <fill>
      <patternFill patternType="lightDown"/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164" fontId="3" fillId="0" borderId="7" xfId="1" applyFont="1" applyBorder="1" applyAlignment="1">
      <alignment horizontal="center" vertical="center" wrapText="1"/>
    </xf>
    <xf numFmtId="164" fontId="3" fillId="0" borderId="18" xfId="1" applyFont="1" applyBorder="1" applyAlignment="1">
      <alignment horizontal="center" vertical="center" wrapText="1"/>
    </xf>
    <xf numFmtId="164" fontId="3" fillId="0" borderId="15" xfId="1" applyFont="1" applyBorder="1" applyAlignment="1">
      <alignment horizontal="center" vertical="center" wrapText="1"/>
    </xf>
    <xf numFmtId="164" fontId="3" fillId="0" borderId="16" xfId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19" xfId="0" applyFont="1" applyBorder="1" applyAlignment="1" applyProtection="1">
      <alignment horizontal="center" vertical="center" wrapText="1"/>
      <protection locked="0"/>
    </xf>
    <xf numFmtId="14" fontId="3" fillId="0" borderId="19" xfId="0" applyNumberFormat="1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20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10" fontId="3" fillId="0" borderId="23" xfId="3" applyNumberFormat="1" applyFont="1" applyBorder="1" applyAlignment="1" applyProtection="1">
      <alignment horizontal="right" vertical="center" wrapText="1"/>
      <protection locked="0"/>
    </xf>
    <xf numFmtId="10" fontId="3" fillId="0" borderId="23" xfId="3" applyNumberFormat="1" applyFont="1" applyBorder="1" applyAlignment="1">
      <alignment horizontal="right" vertical="center" wrapText="1"/>
    </xf>
    <xf numFmtId="0" fontId="12" fillId="0" borderId="0" xfId="0" applyFont="1" applyAlignment="1" applyProtection="1">
      <alignment horizontal="center" vertical="center" wrapText="1"/>
      <protection locked="0"/>
    </xf>
    <xf numFmtId="164" fontId="3" fillId="0" borderId="15" xfId="1" applyFont="1" applyBorder="1" applyAlignment="1" applyProtection="1">
      <alignment horizontal="center" vertical="center" wrapText="1"/>
      <protection locked="0"/>
    </xf>
    <xf numFmtId="164" fontId="3" fillId="0" borderId="21" xfId="1" applyFont="1" applyBorder="1" applyAlignment="1" applyProtection="1">
      <alignment horizontal="center" vertical="center" wrapText="1"/>
      <protection locked="0"/>
    </xf>
    <xf numFmtId="164" fontId="3" fillId="0" borderId="16" xfId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7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165" fontId="1" fillId="0" borderId="0" xfId="2" applyAlignment="1">
      <alignment horizontal="center" vertical="center" wrapText="1"/>
    </xf>
    <xf numFmtId="165" fontId="0" fillId="0" borderId="0" xfId="2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44" fontId="3" fillId="0" borderId="7" xfId="1" applyNumberFormat="1" applyFont="1" applyBorder="1" applyAlignment="1">
      <alignment horizontal="center" vertical="center" wrapText="1"/>
    </xf>
    <xf numFmtId="164" fontId="3" fillId="0" borderId="39" xfId="1" applyFont="1" applyBorder="1" applyAlignment="1">
      <alignment horizontal="center" vertical="center" wrapText="1"/>
    </xf>
    <xf numFmtId="44" fontId="3" fillId="0" borderId="40" xfId="1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44" fontId="3" fillId="0" borderId="41" xfId="0" applyNumberFormat="1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3" fillId="0" borderId="11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9" fillId="4" borderId="32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6" xfId="0" applyFont="1" applyBorder="1" applyAlignment="1" applyProtection="1">
      <alignment horizontal="left" vertical="center" wrapText="1"/>
      <protection locked="0"/>
    </xf>
    <xf numFmtId="0" fontId="3" fillId="0" borderId="27" xfId="0" applyFont="1" applyBorder="1" applyAlignment="1" applyProtection="1">
      <alignment horizontal="left" vertical="center" wrapText="1"/>
      <protection locked="0"/>
    </xf>
    <xf numFmtId="0" fontId="3" fillId="0" borderId="28" xfId="0" applyFont="1" applyBorder="1" applyAlignment="1" applyProtection="1">
      <alignment horizontal="left" vertical="center" wrapText="1"/>
      <protection locked="0"/>
    </xf>
    <xf numFmtId="0" fontId="3" fillId="0" borderId="35" xfId="0" applyFont="1" applyBorder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36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14" fontId="3" fillId="0" borderId="11" xfId="0" applyNumberFormat="1" applyFont="1" applyBorder="1" applyAlignment="1" applyProtection="1">
      <alignment horizontal="center" vertical="center" wrapText="1"/>
      <protection locked="0"/>
    </xf>
    <xf numFmtId="14" fontId="3" fillId="0" borderId="7" xfId="0" applyNumberFormat="1" applyFont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24" xfId="0" applyFont="1" applyBorder="1" applyAlignment="1">
      <alignment horizontal="right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35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36" xfId="0" applyFont="1" applyBorder="1" applyAlignment="1" applyProtection="1">
      <alignment horizontal="center" vertical="center" wrapText="1"/>
      <protection locked="0"/>
    </xf>
  </cellXfs>
  <cellStyles count="4">
    <cellStyle name="Euro" xfId="1" xr:uid="{00000000-0005-0000-0000-000000000000}"/>
    <cellStyle name="Migliaia" xfId="2" builtinId="3"/>
    <cellStyle name="Normale" xfId="0" builtinId="0"/>
    <cellStyle name="Percentuale" xfId="3" builtinId="5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indexed="8"/>
        </top>
        <bottom style="hair">
          <color indexed="8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medium">
          <color indexed="8"/>
        </right>
        <top style="hair">
          <color indexed="8"/>
        </top>
        <bottom style="hair">
          <color indexed="8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medium">
          <color indexed="8"/>
        </right>
        <top style="hair">
          <color indexed="8"/>
        </top>
        <bottom style="hair">
          <color indexed="8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hair">
          <color indexed="8"/>
        </top>
        <bottom style="hair">
          <color indexed="8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84664-BE6A-4EAF-A12A-E7BAC04E5F46}" name="Tabella1" displayName="Tabella1" ref="A1:E90" totalsRowShown="0" headerRowDxfId="6" dataDxfId="5">
  <autoFilter ref="A1:E90" xr:uid="{9E684664-BE6A-4EAF-A12A-E7BAC04E5F46}"/>
  <sortState xmlns:xlrd2="http://schemas.microsoft.com/office/spreadsheetml/2017/richdata2" ref="A2:E90">
    <sortCondition ref="E1:E90"/>
  </sortState>
  <tableColumns count="5">
    <tableColumn id="1" xr3:uid="{C7ED6CE3-A90E-4592-B13A-7F38D1C18760}" name="Tariffa" dataDxfId="4" dataCellStyle="Migliaia"/>
    <tableColumn id="2" xr3:uid="{376C68FD-E733-4754-B108-018947FD38B0}" name="Descrizione articolo" dataDxfId="3"/>
    <tableColumn id="3" xr3:uid="{757F0B4A-07FB-4E1D-822D-FD5BC2AA7D90}" name="U.M." dataDxfId="2"/>
    <tableColumn id="4" xr3:uid="{8AE49A55-CE93-44F0-81FB-C791E4E51BFE}" name="Prezzo unitario" dataDxfId="1" dataCellStyle="Migliaia"/>
    <tableColumn id="5" xr3:uid="{D4501A6F-6DBA-4CB0-A8FB-D29FAC00781B}" name="Categoria" dataDxfId="0"/>
  </tableColumns>
  <tableStyleInfo name="TableStyleMedium16"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2">
    <tabColor indexed="10"/>
  </sheetPr>
  <dimension ref="A1:E92"/>
  <sheetViews>
    <sheetView showGridLines="0" workbookViewId="0">
      <selection activeCell="G32" sqref="G32"/>
    </sheetView>
  </sheetViews>
  <sheetFormatPr defaultRowHeight="12.75"/>
  <cols>
    <col min="1" max="1" width="19.28515625" style="55" customWidth="1"/>
    <col min="2" max="2" width="112.42578125" style="57" customWidth="1"/>
    <col min="3" max="3" width="7.140625" style="1" customWidth="1"/>
    <col min="4" max="4" width="15.85546875" style="55" customWidth="1"/>
    <col min="5" max="5" width="26.42578125" style="72" customWidth="1"/>
    <col min="6" max="16384" width="9.140625" style="1"/>
  </cols>
  <sheetData>
    <row r="1" spans="1:5" ht="36.75" customHeight="1">
      <c r="A1" s="1" t="s">
        <v>161</v>
      </c>
      <c r="B1" s="57" t="s">
        <v>160</v>
      </c>
      <c r="C1" s="1" t="s">
        <v>79</v>
      </c>
      <c r="D1" s="1" t="s">
        <v>83</v>
      </c>
      <c r="E1" s="66" t="s">
        <v>162</v>
      </c>
    </row>
    <row r="2" spans="1:5">
      <c r="A2" s="1" t="s">
        <v>84</v>
      </c>
      <c r="B2" s="57" t="s">
        <v>85</v>
      </c>
      <c r="C2" s="1" t="s">
        <v>77</v>
      </c>
      <c r="D2" s="1">
        <v>11.98</v>
      </c>
      <c r="E2" s="67" t="s">
        <v>166</v>
      </c>
    </row>
    <row r="3" spans="1:5">
      <c r="A3" s="1" t="s">
        <v>86</v>
      </c>
      <c r="B3" s="57" t="s">
        <v>87</v>
      </c>
      <c r="C3" s="1" t="s">
        <v>88</v>
      </c>
      <c r="D3" s="1">
        <v>373.93</v>
      </c>
      <c r="E3" s="67" t="s">
        <v>166</v>
      </c>
    </row>
    <row r="4" spans="1:5">
      <c r="A4" s="1" t="s">
        <v>89</v>
      </c>
      <c r="B4" s="57" t="s">
        <v>90</v>
      </c>
      <c r="C4" s="1" t="s">
        <v>78</v>
      </c>
      <c r="D4" s="1">
        <v>23.18</v>
      </c>
      <c r="E4" s="67" t="s">
        <v>166</v>
      </c>
    </row>
    <row r="5" spans="1:5">
      <c r="A5" s="1" t="s">
        <v>91</v>
      </c>
      <c r="B5" s="57" t="s">
        <v>92</v>
      </c>
      <c r="C5" s="1" t="s">
        <v>88</v>
      </c>
      <c r="D5" s="1">
        <v>105.52</v>
      </c>
      <c r="E5" s="67" t="s">
        <v>166</v>
      </c>
    </row>
    <row r="6" spans="1:5">
      <c r="A6" s="1" t="s">
        <v>93</v>
      </c>
      <c r="B6" s="57" t="s">
        <v>94</v>
      </c>
      <c r="C6" s="1" t="s">
        <v>78</v>
      </c>
      <c r="D6" s="1">
        <v>107.82</v>
      </c>
      <c r="E6" s="67" t="s">
        <v>166</v>
      </c>
    </row>
    <row r="7" spans="1:5">
      <c r="A7" s="1" t="s">
        <v>95</v>
      </c>
      <c r="B7" s="57" t="s">
        <v>96</v>
      </c>
      <c r="C7" s="1" t="s">
        <v>77</v>
      </c>
      <c r="D7" s="1">
        <v>33.229999999999997</v>
      </c>
      <c r="E7" s="67" t="s">
        <v>166</v>
      </c>
    </row>
    <row r="8" spans="1:5">
      <c r="A8" s="1" t="s">
        <v>97</v>
      </c>
      <c r="B8" s="57" t="s">
        <v>98</v>
      </c>
      <c r="C8" s="1" t="s">
        <v>77</v>
      </c>
      <c r="D8" s="1">
        <v>6.66</v>
      </c>
      <c r="E8" s="67" t="s">
        <v>166</v>
      </c>
    </row>
    <row r="9" spans="1:5">
      <c r="A9" s="1" t="s">
        <v>99</v>
      </c>
      <c r="B9" s="57" t="s">
        <v>100</v>
      </c>
      <c r="C9" s="1" t="s">
        <v>76</v>
      </c>
      <c r="D9" s="1">
        <v>2.09</v>
      </c>
      <c r="E9" s="68" t="s">
        <v>170</v>
      </c>
    </row>
    <row r="10" spans="1:5">
      <c r="A10" s="1" t="s">
        <v>101</v>
      </c>
      <c r="B10" s="57" t="s">
        <v>102</v>
      </c>
      <c r="C10" s="1" t="s">
        <v>76</v>
      </c>
      <c r="D10" s="1">
        <v>2.87</v>
      </c>
      <c r="E10" s="68" t="s">
        <v>170</v>
      </c>
    </row>
    <row r="11" spans="1:5">
      <c r="A11" s="1" t="s">
        <v>103</v>
      </c>
      <c r="B11" s="57" t="s">
        <v>104</v>
      </c>
      <c r="C11" s="1" t="s">
        <v>76</v>
      </c>
      <c r="D11" s="1">
        <v>6.23</v>
      </c>
      <c r="E11" s="68" t="s">
        <v>170</v>
      </c>
    </row>
    <row r="12" spans="1:5">
      <c r="A12" s="1" t="s">
        <v>105</v>
      </c>
      <c r="B12" s="57" t="s">
        <v>106</v>
      </c>
      <c r="C12" s="1" t="s">
        <v>76</v>
      </c>
      <c r="D12" s="1">
        <v>8.17</v>
      </c>
      <c r="E12" s="68" t="s">
        <v>170</v>
      </c>
    </row>
    <row r="13" spans="1:5">
      <c r="A13" s="1" t="s">
        <v>107</v>
      </c>
      <c r="B13" s="57" t="s">
        <v>108</v>
      </c>
      <c r="C13" s="1" t="s">
        <v>76</v>
      </c>
      <c r="D13" s="1">
        <v>20.13</v>
      </c>
      <c r="E13" s="68" t="s">
        <v>170</v>
      </c>
    </row>
    <row r="14" spans="1:5">
      <c r="A14" s="1" t="s">
        <v>109</v>
      </c>
      <c r="B14" s="57" t="s">
        <v>110</v>
      </c>
      <c r="C14" s="1" t="s">
        <v>76</v>
      </c>
      <c r="D14" s="1">
        <v>3.5</v>
      </c>
      <c r="E14" s="68" t="s">
        <v>170</v>
      </c>
    </row>
    <row r="15" spans="1:5">
      <c r="A15" s="1" t="s">
        <v>111</v>
      </c>
      <c r="B15" s="57" t="s">
        <v>112</v>
      </c>
      <c r="C15" s="1" t="s">
        <v>76</v>
      </c>
      <c r="D15" s="1">
        <v>1.97</v>
      </c>
      <c r="E15" s="68" t="s">
        <v>170</v>
      </c>
    </row>
    <row r="16" spans="1:5">
      <c r="A16" s="1" t="s">
        <v>113</v>
      </c>
      <c r="B16" s="57" t="s">
        <v>114</v>
      </c>
      <c r="C16" s="1" t="s">
        <v>76</v>
      </c>
      <c r="D16" s="1">
        <v>12.3</v>
      </c>
      <c r="E16" s="68" t="s">
        <v>170</v>
      </c>
    </row>
    <row r="17" spans="1:5">
      <c r="A17" s="1" t="s">
        <v>115</v>
      </c>
      <c r="B17" s="57" t="s">
        <v>114</v>
      </c>
      <c r="C17" s="1" t="s">
        <v>76</v>
      </c>
      <c r="D17" s="1">
        <v>13.17</v>
      </c>
      <c r="E17" s="68" t="s">
        <v>170</v>
      </c>
    </row>
    <row r="18" spans="1:5">
      <c r="A18" s="1" t="s">
        <v>116</v>
      </c>
      <c r="B18" s="57" t="s">
        <v>117</v>
      </c>
      <c r="C18" s="1" t="s">
        <v>76</v>
      </c>
      <c r="D18" s="1">
        <v>9.1300000000000008</v>
      </c>
      <c r="E18" s="68" t="s">
        <v>170</v>
      </c>
    </row>
    <row r="19" spans="1:5">
      <c r="A19" s="1" t="s">
        <v>118</v>
      </c>
      <c r="B19" s="57" t="s">
        <v>119</v>
      </c>
      <c r="C19" s="1" t="s">
        <v>76</v>
      </c>
      <c r="D19" s="1">
        <v>2.54</v>
      </c>
      <c r="E19" s="68" t="s">
        <v>170</v>
      </c>
    </row>
    <row r="20" spans="1:5">
      <c r="A20" s="1" t="s">
        <v>120</v>
      </c>
      <c r="B20" s="57" t="s">
        <v>121</v>
      </c>
      <c r="C20" s="1" t="s">
        <v>88</v>
      </c>
      <c r="D20" s="1">
        <v>114.06</v>
      </c>
      <c r="E20" s="69" t="s">
        <v>168</v>
      </c>
    </row>
    <row r="21" spans="1:5">
      <c r="A21" s="1" t="s">
        <v>122</v>
      </c>
      <c r="B21" s="57" t="s">
        <v>123</v>
      </c>
      <c r="C21" s="1" t="s">
        <v>88</v>
      </c>
      <c r="D21" s="1">
        <v>132.38</v>
      </c>
      <c r="E21" s="69" t="s">
        <v>168</v>
      </c>
    </row>
    <row r="22" spans="1:5">
      <c r="A22" s="1" t="s">
        <v>124</v>
      </c>
      <c r="B22" s="57" t="s">
        <v>125</v>
      </c>
      <c r="C22" s="1" t="s">
        <v>88</v>
      </c>
      <c r="D22" s="1">
        <v>44.27</v>
      </c>
      <c r="E22" s="69" t="s">
        <v>168</v>
      </c>
    </row>
    <row r="23" spans="1:5">
      <c r="A23" s="1" t="s">
        <v>126</v>
      </c>
      <c r="B23" s="57" t="s">
        <v>127</v>
      </c>
      <c r="C23" s="1" t="s">
        <v>88</v>
      </c>
      <c r="D23" s="1">
        <v>1.59</v>
      </c>
      <c r="E23" s="69" t="s">
        <v>168</v>
      </c>
    </row>
    <row r="24" spans="1:5">
      <c r="A24" s="1" t="s">
        <v>128</v>
      </c>
      <c r="B24" s="57" t="s">
        <v>129</v>
      </c>
      <c r="C24" s="1" t="s">
        <v>88</v>
      </c>
      <c r="D24" s="1">
        <v>52.64</v>
      </c>
      <c r="E24" s="69" t="s">
        <v>168</v>
      </c>
    </row>
    <row r="25" spans="1:5">
      <c r="A25" s="1" t="s">
        <v>130</v>
      </c>
      <c r="B25" s="57" t="s">
        <v>131</v>
      </c>
      <c r="C25" s="1" t="s">
        <v>88</v>
      </c>
      <c r="D25" s="1">
        <v>89.66</v>
      </c>
      <c r="E25" s="69" t="s">
        <v>168</v>
      </c>
    </row>
    <row r="26" spans="1:5">
      <c r="A26" s="1" t="s">
        <v>132</v>
      </c>
      <c r="B26" s="57" t="s">
        <v>133</v>
      </c>
      <c r="C26" s="1" t="s">
        <v>88</v>
      </c>
      <c r="D26" s="1">
        <v>92.7</v>
      </c>
      <c r="E26" s="69" t="s">
        <v>168</v>
      </c>
    </row>
    <row r="27" spans="1:5">
      <c r="A27" s="1" t="s">
        <v>134</v>
      </c>
      <c r="B27" s="57" t="s">
        <v>135</v>
      </c>
      <c r="C27" s="1" t="s">
        <v>88</v>
      </c>
      <c r="D27" s="1">
        <v>29.83</v>
      </c>
      <c r="E27" s="73" t="s">
        <v>169</v>
      </c>
    </row>
    <row r="28" spans="1:5">
      <c r="A28" s="1" t="s">
        <v>136</v>
      </c>
      <c r="B28" s="57" t="s">
        <v>137</v>
      </c>
      <c r="C28" s="1" t="s">
        <v>88</v>
      </c>
      <c r="D28" s="1">
        <v>62.25</v>
      </c>
      <c r="E28" s="70" t="s">
        <v>171</v>
      </c>
    </row>
    <row r="29" spans="1:5">
      <c r="A29" s="1" t="s">
        <v>138</v>
      </c>
      <c r="B29" s="57" t="s">
        <v>139</v>
      </c>
      <c r="C29" s="1" t="s">
        <v>77</v>
      </c>
      <c r="D29" s="1">
        <v>34.36</v>
      </c>
      <c r="E29" s="70" t="s">
        <v>171</v>
      </c>
    </row>
    <row r="30" spans="1:5">
      <c r="A30" s="1" t="s">
        <v>140</v>
      </c>
      <c r="B30" s="57" t="s">
        <v>141</v>
      </c>
      <c r="C30" s="1" t="s">
        <v>88</v>
      </c>
      <c r="D30" s="1">
        <v>24.79</v>
      </c>
      <c r="E30" s="70" t="s">
        <v>171</v>
      </c>
    </row>
    <row r="31" spans="1:5">
      <c r="A31" s="1" t="s">
        <v>142</v>
      </c>
      <c r="B31" s="57" t="s">
        <v>143</v>
      </c>
      <c r="C31" s="1" t="s">
        <v>88</v>
      </c>
      <c r="D31" s="1">
        <v>36.659999999999997</v>
      </c>
      <c r="E31" s="70" t="s">
        <v>171</v>
      </c>
    </row>
    <row r="32" spans="1:5">
      <c r="A32" s="1" t="s">
        <v>144</v>
      </c>
      <c r="B32" s="57" t="s">
        <v>145</v>
      </c>
      <c r="C32" s="1" t="s">
        <v>88</v>
      </c>
      <c r="D32" s="1">
        <v>18.510000000000002</v>
      </c>
      <c r="E32" s="70" t="s">
        <v>171</v>
      </c>
    </row>
    <row r="33" spans="1:5">
      <c r="A33" s="1" t="s">
        <v>146</v>
      </c>
      <c r="B33" s="57" t="s">
        <v>147</v>
      </c>
      <c r="C33" s="1" t="s">
        <v>88</v>
      </c>
      <c r="D33" s="1">
        <v>10.41</v>
      </c>
      <c r="E33" s="70" t="s">
        <v>171</v>
      </c>
    </row>
    <row r="34" spans="1:5">
      <c r="A34" s="1" t="s">
        <v>148</v>
      </c>
      <c r="B34" s="57" t="s">
        <v>149</v>
      </c>
      <c r="C34" s="1" t="s">
        <v>88</v>
      </c>
      <c r="D34" s="1">
        <v>48.81</v>
      </c>
      <c r="E34" s="70" t="s">
        <v>171</v>
      </c>
    </row>
    <row r="35" spans="1:5">
      <c r="A35" s="1" t="s">
        <v>150</v>
      </c>
      <c r="B35" s="57" t="s">
        <v>151</v>
      </c>
      <c r="C35" s="1" t="s">
        <v>75</v>
      </c>
      <c r="D35" s="1">
        <v>39.28</v>
      </c>
      <c r="E35" s="71" t="s">
        <v>172</v>
      </c>
    </row>
    <row r="36" spans="1:5">
      <c r="A36" s="1" t="s">
        <v>152</v>
      </c>
      <c r="B36" s="57" t="s">
        <v>153</v>
      </c>
      <c r="C36" s="1" t="s">
        <v>75</v>
      </c>
      <c r="D36" s="1">
        <v>36.39</v>
      </c>
      <c r="E36" s="71" t="s">
        <v>172</v>
      </c>
    </row>
    <row r="37" spans="1:5">
      <c r="A37" s="1" t="s">
        <v>154</v>
      </c>
      <c r="B37" s="57" t="s">
        <v>155</v>
      </c>
      <c r="C37" s="1" t="s">
        <v>75</v>
      </c>
      <c r="D37" s="1">
        <v>32.590000000000003</v>
      </c>
      <c r="E37" s="71" t="s">
        <v>172</v>
      </c>
    </row>
    <row r="38" spans="1:5">
      <c r="A38" s="1" t="s">
        <v>156</v>
      </c>
      <c r="B38" s="57" t="s">
        <v>157</v>
      </c>
      <c r="C38" s="1" t="s">
        <v>75</v>
      </c>
      <c r="D38" s="1">
        <v>69.62</v>
      </c>
      <c r="E38" s="71" t="s">
        <v>172</v>
      </c>
    </row>
    <row r="39" spans="1:5">
      <c r="A39" s="1" t="s">
        <v>158</v>
      </c>
      <c r="B39" s="57" t="s">
        <v>159</v>
      </c>
      <c r="C39" s="1" t="s">
        <v>75</v>
      </c>
      <c r="D39" s="1">
        <v>76.55</v>
      </c>
      <c r="E39" s="71" t="s">
        <v>172</v>
      </c>
    </row>
    <row r="40" spans="1:5">
      <c r="A40" s="58" t="s">
        <v>173</v>
      </c>
      <c r="D40" s="1"/>
      <c r="E40" s="66" t="s">
        <v>167</v>
      </c>
    </row>
    <row r="41" spans="1:5">
      <c r="A41" s="58" t="s">
        <v>174</v>
      </c>
      <c r="D41" s="1"/>
      <c r="E41" s="57"/>
    </row>
    <row r="42" spans="1:5">
      <c r="A42" s="58" t="s">
        <v>175</v>
      </c>
      <c r="D42" s="1"/>
      <c r="E42" s="57"/>
    </row>
    <row r="43" spans="1:5">
      <c r="A43" s="58" t="s">
        <v>176</v>
      </c>
      <c r="D43" s="1"/>
      <c r="E43" s="57"/>
    </row>
    <row r="44" spans="1:5">
      <c r="A44" s="58" t="s">
        <v>177</v>
      </c>
      <c r="D44" s="1"/>
      <c r="E44" s="57"/>
    </row>
    <row r="45" spans="1:5">
      <c r="A45" s="58" t="s">
        <v>178</v>
      </c>
      <c r="D45" s="1"/>
      <c r="E45" s="57"/>
    </row>
    <row r="46" spans="1:5">
      <c r="A46" s="58" t="s">
        <v>179</v>
      </c>
      <c r="D46" s="1"/>
      <c r="E46" s="57"/>
    </row>
    <row r="47" spans="1:5">
      <c r="A47" s="58" t="s">
        <v>180</v>
      </c>
      <c r="D47" s="1"/>
      <c r="E47" s="57"/>
    </row>
    <row r="48" spans="1:5">
      <c r="A48" s="58" t="s">
        <v>181</v>
      </c>
      <c r="D48" s="1"/>
      <c r="E48" s="57"/>
    </row>
    <row r="49" spans="1:5">
      <c r="A49" s="58" t="s">
        <v>33</v>
      </c>
      <c r="D49" s="1"/>
      <c r="E49" s="57"/>
    </row>
    <row r="50" spans="1:5">
      <c r="A50" s="58" t="s">
        <v>34</v>
      </c>
      <c r="D50" s="1"/>
      <c r="E50" s="57"/>
    </row>
    <row r="51" spans="1:5">
      <c r="A51" s="58" t="s">
        <v>35</v>
      </c>
      <c r="D51" s="1"/>
      <c r="E51" s="57"/>
    </row>
    <row r="52" spans="1:5">
      <c r="A52" s="58" t="s">
        <v>36</v>
      </c>
      <c r="D52" s="1"/>
      <c r="E52" s="57"/>
    </row>
    <row r="53" spans="1:5">
      <c r="A53" s="58" t="s">
        <v>37</v>
      </c>
      <c r="D53" s="1"/>
      <c r="E53" s="57"/>
    </row>
    <row r="54" spans="1:5">
      <c r="A54" s="58" t="s">
        <v>38</v>
      </c>
      <c r="D54" s="1"/>
      <c r="E54" s="57"/>
    </row>
    <row r="55" spans="1:5">
      <c r="A55" s="58" t="s">
        <v>39</v>
      </c>
      <c r="D55" s="1"/>
      <c r="E55" s="57"/>
    </row>
    <row r="56" spans="1:5">
      <c r="A56" s="58" t="s">
        <v>40</v>
      </c>
      <c r="D56" s="1"/>
      <c r="E56" s="57"/>
    </row>
    <row r="57" spans="1:5">
      <c r="A57" s="58" t="s">
        <v>41</v>
      </c>
      <c r="D57" s="1"/>
      <c r="E57" s="57"/>
    </row>
    <row r="58" spans="1:5">
      <c r="A58" s="58" t="s">
        <v>42</v>
      </c>
      <c r="D58" s="1"/>
      <c r="E58" s="57"/>
    </row>
    <row r="59" spans="1:5">
      <c r="A59" s="58" t="s">
        <v>43</v>
      </c>
      <c r="D59" s="1"/>
      <c r="E59" s="57"/>
    </row>
    <row r="60" spans="1:5">
      <c r="A60" s="58" t="s">
        <v>44</v>
      </c>
      <c r="D60" s="1"/>
      <c r="E60" s="57"/>
    </row>
    <row r="61" spans="1:5">
      <c r="A61" s="58" t="s">
        <v>45</v>
      </c>
      <c r="D61" s="1"/>
      <c r="E61" s="57"/>
    </row>
    <row r="62" spans="1:5">
      <c r="A62" s="58" t="s">
        <v>46</v>
      </c>
      <c r="D62" s="1"/>
      <c r="E62" s="57"/>
    </row>
    <row r="63" spans="1:5">
      <c r="A63" s="58" t="s">
        <v>47</v>
      </c>
      <c r="D63" s="1"/>
      <c r="E63" s="57"/>
    </row>
    <row r="64" spans="1:5">
      <c r="A64" s="58" t="s">
        <v>48</v>
      </c>
      <c r="D64" s="1"/>
      <c r="E64" s="57"/>
    </row>
    <row r="65" spans="1:5">
      <c r="A65" s="58" t="s">
        <v>49</v>
      </c>
      <c r="D65" s="1"/>
      <c r="E65" s="57"/>
    </row>
    <row r="66" spans="1:5">
      <c r="A66" s="58" t="s">
        <v>50</v>
      </c>
      <c r="D66" s="1"/>
      <c r="E66" s="57"/>
    </row>
    <row r="67" spans="1:5">
      <c r="A67" s="58" t="s">
        <v>51</v>
      </c>
      <c r="D67" s="1"/>
      <c r="E67" s="57"/>
    </row>
    <row r="68" spans="1:5">
      <c r="A68" s="58" t="s">
        <v>52</v>
      </c>
      <c r="D68" s="1"/>
      <c r="E68" s="57"/>
    </row>
    <row r="69" spans="1:5">
      <c r="A69" s="58" t="s">
        <v>53</v>
      </c>
      <c r="D69" s="1"/>
      <c r="E69" s="57"/>
    </row>
    <row r="70" spans="1:5">
      <c r="A70" s="58" t="s">
        <v>54</v>
      </c>
      <c r="D70" s="1"/>
      <c r="E70" s="57"/>
    </row>
    <row r="71" spans="1:5">
      <c r="A71" s="58" t="s">
        <v>55</v>
      </c>
      <c r="D71" s="1"/>
      <c r="E71" s="57"/>
    </row>
    <row r="72" spans="1:5">
      <c r="A72" s="58" t="s">
        <v>56</v>
      </c>
      <c r="D72" s="1"/>
      <c r="E72" s="57"/>
    </row>
    <row r="73" spans="1:5">
      <c r="A73" s="58" t="s">
        <v>57</v>
      </c>
      <c r="D73" s="1"/>
      <c r="E73" s="57"/>
    </row>
    <row r="74" spans="1:5">
      <c r="A74" s="58" t="s">
        <v>58</v>
      </c>
      <c r="D74" s="1"/>
      <c r="E74" s="57"/>
    </row>
    <row r="75" spans="1:5">
      <c r="A75" s="58" t="s">
        <v>59</v>
      </c>
      <c r="D75" s="1"/>
      <c r="E75" s="57"/>
    </row>
    <row r="76" spans="1:5">
      <c r="A76" s="58" t="s">
        <v>60</v>
      </c>
      <c r="D76" s="1"/>
      <c r="E76" s="57"/>
    </row>
    <row r="77" spans="1:5">
      <c r="A77" s="58" t="s">
        <v>61</v>
      </c>
      <c r="D77" s="1"/>
      <c r="E77" s="57"/>
    </row>
    <row r="78" spans="1:5">
      <c r="A78" s="58" t="s">
        <v>62</v>
      </c>
      <c r="D78" s="1"/>
      <c r="E78" s="57"/>
    </row>
    <row r="79" spans="1:5">
      <c r="A79" s="58" t="s">
        <v>63</v>
      </c>
      <c r="D79" s="1"/>
      <c r="E79" s="57"/>
    </row>
    <row r="80" spans="1:5">
      <c r="A80" s="58" t="s">
        <v>64</v>
      </c>
      <c r="D80" s="1"/>
      <c r="E80" s="57"/>
    </row>
    <row r="81" spans="1:5">
      <c r="A81" s="58" t="s">
        <v>65</v>
      </c>
      <c r="D81" s="1"/>
      <c r="E81" s="57"/>
    </row>
    <row r="82" spans="1:5">
      <c r="A82" s="58" t="s">
        <v>66</v>
      </c>
      <c r="D82" s="1"/>
      <c r="E82" s="57"/>
    </row>
    <row r="83" spans="1:5">
      <c r="A83" s="58" t="s">
        <v>67</v>
      </c>
      <c r="D83" s="1"/>
      <c r="E83" s="57"/>
    </row>
    <row r="84" spans="1:5">
      <c r="A84" s="58" t="s">
        <v>68</v>
      </c>
      <c r="D84" s="1"/>
      <c r="E84" s="57"/>
    </row>
    <row r="85" spans="1:5">
      <c r="A85" s="58" t="s">
        <v>69</v>
      </c>
      <c r="D85" s="1"/>
      <c r="E85" s="57"/>
    </row>
    <row r="86" spans="1:5">
      <c r="A86" s="58" t="s">
        <v>70</v>
      </c>
      <c r="D86" s="1"/>
      <c r="E86" s="57"/>
    </row>
    <row r="87" spans="1:5">
      <c r="A87" s="58" t="s">
        <v>71</v>
      </c>
      <c r="D87" s="1"/>
      <c r="E87" s="57"/>
    </row>
    <row r="88" spans="1:5">
      <c r="A88" s="58" t="s">
        <v>72</v>
      </c>
      <c r="D88" s="1"/>
      <c r="E88" s="57"/>
    </row>
    <row r="89" spans="1:5">
      <c r="A89" s="58" t="s">
        <v>73</v>
      </c>
      <c r="D89" s="1"/>
      <c r="E89" s="57"/>
    </row>
    <row r="90" spans="1:5">
      <c r="A90" s="1"/>
      <c r="D90" s="1"/>
      <c r="E90" s="57"/>
    </row>
    <row r="91" spans="1:5">
      <c r="A91" s="1"/>
      <c r="D91" s="1"/>
      <c r="E91" s="57"/>
    </row>
    <row r="92" spans="1:5">
      <c r="D92" s="56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showGridLines="0" tabSelected="1" view="pageLayout" topLeftCell="A33" zoomScaleNormal="130" workbookViewId="0">
      <selection activeCell="A8" sqref="A8:F11"/>
    </sheetView>
  </sheetViews>
  <sheetFormatPr defaultRowHeight="12.75"/>
  <cols>
    <col min="1" max="1" width="15.5703125" style="1" customWidth="1"/>
    <col min="2" max="2" width="44" style="1" customWidth="1"/>
    <col min="3" max="4" width="6.7109375" style="1" customWidth="1"/>
    <col min="5" max="6" width="13.7109375" style="1" customWidth="1"/>
    <col min="7" max="16384" width="9.140625" style="1"/>
  </cols>
  <sheetData>
    <row r="1" spans="1:6" ht="17.25" thickTop="1" thickBot="1">
      <c r="A1" s="76" t="s">
        <v>82</v>
      </c>
      <c r="B1" s="77"/>
      <c r="C1" s="77"/>
      <c r="D1" s="77"/>
      <c r="E1" s="77"/>
      <c r="F1" s="78"/>
    </row>
    <row r="2" spans="1:6" ht="9" customHeight="1" thickTop="1" thickBot="1"/>
    <row r="3" spans="1:6" s="22" customFormat="1" ht="38.25">
      <c r="A3" s="21" t="s">
        <v>74</v>
      </c>
      <c r="B3" s="54" t="s">
        <v>81</v>
      </c>
      <c r="C3" s="79" t="s">
        <v>1</v>
      </c>
      <c r="D3" s="81"/>
      <c r="E3" s="21" t="s">
        <v>3</v>
      </c>
      <c r="F3" s="21" t="s">
        <v>13</v>
      </c>
    </row>
    <row r="4" spans="1:6" s="3" customFormat="1" ht="25.5" customHeight="1">
      <c r="A4" s="31"/>
      <c r="B4" s="41" t="s">
        <v>163</v>
      </c>
      <c r="C4" s="95"/>
      <c r="D4" s="96"/>
      <c r="E4" s="32"/>
      <c r="F4" s="31"/>
    </row>
    <row r="5" spans="1:6" s="3" customFormat="1" ht="6.75" customHeight="1" thickBot="1">
      <c r="A5" s="4"/>
      <c r="B5" s="30" t="s">
        <v>164</v>
      </c>
      <c r="C5" s="97"/>
      <c r="D5" s="98"/>
      <c r="E5" s="4"/>
      <c r="F5" s="4"/>
    </row>
    <row r="6" spans="1:6" s="3" customFormat="1" ht="9" customHeight="1" thickBot="1"/>
    <row r="7" spans="1:6" s="3" customFormat="1">
      <c r="A7" s="10" t="s">
        <v>4</v>
      </c>
      <c r="B7" s="11"/>
      <c r="C7" s="11"/>
      <c r="D7" s="11"/>
      <c r="E7" s="11"/>
      <c r="F7" s="12"/>
    </row>
    <row r="8" spans="1:6" s="3" customFormat="1" ht="18" customHeight="1">
      <c r="A8" s="86"/>
      <c r="B8" s="87"/>
      <c r="C8" s="87"/>
      <c r="D8" s="87"/>
      <c r="E8" s="87"/>
      <c r="F8" s="88"/>
    </row>
    <row r="9" spans="1:6" s="3" customFormat="1" ht="18" customHeight="1">
      <c r="A9" s="89"/>
      <c r="B9" s="90"/>
      <c r="C9" s="90"/>
      <c r="D9" s="90"/>
      <c r="E9" s="90"/>
      <c r="F9" s="91"/>
    </row>
    <row r="10" spans="1:6" s="3" customFormat="1" ht="18" customHeight="1">
      <c r="A10" s="89"/>
      <c r="B10" s="90"/>
      <c r="C10" s="90"/>
      <c r="D10" s="90"/>
      <c r="E10" s="90"/>
      <c r="F10" s="91"/>
    </row>
    <row r="11" spans="1:6" s="3" customFormat="1" ht="18" customHeight="1" thickBot="1">
      <c r="A11" s="92"/>
      <c r="B11" s="93"/>
      <c r="C11" s="93"/>
      <c r="D11" s="93"/>
      <c r="E11" s="93"/>
      <c r="F11" s="94"/>
    </row>
    <row r="12" spans="1:6" s="3" customFormat="1" ht="9" customHeight="1" thickBot="1"/>
    <row r="13" spans="1:6" s="3" customFormat="1" ht="24" customHeight="1">
      <c r="A13" s="79" t="s">
        <v>10</v>
      </c>
      <c r="B13" s="80"/>
      <c r="C13" s="80"/>
      <c r="D13" s="80"/>
      <c r="E13" s="80"/>
      <c r="F13" s="81"/>
    </row>
    <row r="14" spans="1:6" s="3" customFormat="1">
      <c r="A14" s="14" t="s">
        <v>8</v>
      </c>
      <c r="B14" s="16" t="s">
        <v>0</v>
      </c>
      <c r="C14" s="16" t="s">
        <v>79</v>
      </c>
      <c r="D14" s="16" t="s">
        <v>2</v>
      </c>
      <c r="E14" s="16" t="s">
        <v>18</v>
      </c>
      <c r="F14" s="15" t="s">
        <v>17</v>
      </c>
    </row>
    <row r="15" spans="1:6" s="3" customFormat="1" ht="18" customHeight="1">
      <c r="A15" s="33" t="str">
        <f>IF(B15="","",_xlfn.XLOOKUP(B15,Tabella1[Descrizione articolo],Tabella1[Tariffa],FALSE,0))</f>
        <v/>
      </c>
      <c r="B15" s="17"/>
      <c r="C15" s="17" t="str">
        <f>IF(A15="","",VLOOKUP(A15,Tabella1[],3,FALSE))</f>
        <v/>
      </c>
      <c r="D15" s="35"/>
      <c r="E15" s="28" t="str">
        <f>IF(A15="","",VLOOKUP(A15,Tabella1[],4,FALSE))</f>
        <v/>
      </c>
      <c r="F15" s="59" t="str">
        <f>IF(OR(D15="",E15=""),"",D15*E15)</f>
        <v/>
      </c>
    </row>
    <row r="16" spans="1:6" s="3" customFormat="1" ht="18" customHeight="1">
      <c r="A16" s="33" t="str">
        <f>IF(B16="","",_xlfn.XLOOKUP(B16,Tabella1[Descrizione articolo],Tabella1[Tariffa],FALSE,0))</f>
        <v/>
      </c>
      <c r="B16" s="17"/>
      <c r="C16" s="17" t="str">
        <f>IF(A16="","",VLOOKUP(A16,Tabella1[],3,FALSE))</f>
        <v/>
      </c>
      <c r="D16" s="36"/>
      <c r="E16" s="28" t="str">
        <f>IF(A16="","",VLOOKUP(A16,Tabella1[],4,FALSE))</f>
        <v/>
      </c>
      <c r="F16" s="59" t="str">
        <f t="shared" ref="F16:F33" si="0">IF(OR(D16="",E16=""),"",D16*E16)</f>
        <v/>
      </c>
    </row>
    <row r="17" spans="1:6" s="3" customFormat="1" ht="18" customHeight="1">
      <c r="A17" s="33" t="str">
        <f>IF(B17="","",_xlfn.XLOOKUP(B17,Tabella1[Descrizione articolo],Tabella1[Tariffa],FALSE,0))</f>
        <v/>
      </c>
      <c r="B17" s="17"/>
      <c r="C17" s="17" t="str">
        <f>IF(A17="","",VLOOKUP(A17,Tabella1[],3,FALSE))</f>
        <v/>
      </c>
      <c r="D17" s="36"/>
      <c r="E17" s="28" t="str">
        <f>IF(A17="","",VLOOKUP(A17,Tabella1[],4,FALSE))</f>
        <v/>
      </c>
      <c r="F17" s="59" t="str">
        <f t="shared" si="0"/>
        <v/>
      </c>
    </row>
    <row r="18" spans="1:6" s="3" customFormat="1" ht="18" customHeight="1">
      <c r="A18" s="33" t="str">
        <f>IF(B18="","",_xlfn.XLOOKUP(B18,Tabella1[Descrizione articolo],Tabella1[Tariffa],FALSE,0))</f>
        <v/>
      </c>
      <c r="B18" s="17"/>
      <c r="C18" s="17" t="str">
        <f>IF(A18="","",VLOOKUP(A18,Tabella1[],3,FALSE))</f>
        <v/>
      </c>
      <c r="D18" s="36"/>
      <c r="E18" s="28" t="str">
        <f>IF(A18="","",VLOOKUP(A18,Tabella1[],4,FALSE))</f>
        <v/>
      </c>
      <c r="F18" s="59" t="str">
        <f t="shared" si="0"/>
        <v/>
      </c>
    </row>
    <row r="19" spans="1:6" s="3" customFormat="1" ht="18" customHeight="1">
      <c r="A19" s="33" t="str">
        <f>IF(B19="","",_xlfn.XLOOKUP(B19,Tabella1[Descrizione articolo],Tabella1[Tariffa],FALSE,0))</f>
        <v/>
      </c>
      <c r="B19" s="17"/>
      <c r="C19" s="17" t="str">
        <f>IF(A19="","",VLOOKUP(A19,Tabella1[],3,FALSE))</f>
        <v/>
      </c>
      <c r="D19" s="36"/>
      <c r="E19" s="28" t="str">
        <f>IF(A19="","",VLOOKUP(A19,Tabella1[],4,FALSE))</f>
        <v/>
      </c>
      <c r="F19" s="59" t="str">
        <f t="shared" si="0"/>
        <v/>
      </c>
    </row>
    <row r="20" spans="1:6" s="3" customFormat="1" ht="18" customHeight="1">
      <c r="A20" s="33" t="str">
        <f>IF(B20="","",_xlfn.XLOOKUP(B20,Tabella1[Descrizione articolo],Tabella1[Tariffa],FALSE,0))</f>
        <v/>
      </c>
      <c r="B20" s="17"/>
      <c r="C20" s="17" t="str">
        <f>IF(A20="","",VLOOKUP(A20,Tabella1[],3,FALSE))</f>
        <v/>
      </c>
      <c r="D20" s="36"/>
      <c r="E20" s="28" t="str">
        <f>IF(A20="","",VLOOKUP(A20,Tabella1[],4,FALSE))</f>
        <v/>
      </c>
      <c r="F20" s="59" t="str">
        <f t="shared" si="0"/>
        <v/>
      </c>
    </row>
    <row r="21" spans="1:6" s="3" customFormat="1" ht="18" customHeight="1">
      <c r="A21" s="33" t="str">
        <f>IF(B21="","",_xlfn.XLOOKUP(B21,Tabella1[Descrizione articolo],Tabella1[Tariffa],FALSE,0))</f>
        <v/>
      </c>
      <c r="B21" s="17"/>
      <c r="C21" s="17" t="str">
        <f>IF(A21="","",VLOOKUP(A21,Tabella1[],3,FALSE))</f>
        <v/>
      </c>
      <c r="D21" s="36"/>
      <c r="E21" s="28" t="str">
        <f>IF(A21="","",VLOOKUP(A21,Tabella1[],4,FALSE))</f>
        <v/>
      </c>
      <c r="F21" s="59" t="str">
        <f t="shared" si="0"/>
        <v/>
      </c>
    </row>
    <row r="22" spans="1:6" s="3" customFormat="1" ht="18" customHeight="1">
      <c r="A22" s="33" t="str">
        <f>IF(B22="","",_xlfn.XLOOKUP(B22,Tabella1[Descrizione articolo],Tabella1[Tariffa],FALSE,0))</f>
        <v/>
      </c>
      <c r="B22" s="17"/>
      <c r="C22" s="17" t="str">
        <f>IF(A22="","",VLOOKUP(A22,Tabella1[],3,FALSE))</f>
        <v/>
      </c>
      <c r="D22" s="36"/>
      <c r="E22" s="28" t="str">
        <f>IF(A22="","",VLOOKUP(A22,Tabella1[],4,FALSE))</f>
        <v/>
      </c>
      <c r="F22" s="59" t="str">
        <f t="shared" si="0"/>
        <v/>
      </c>
    </row>
    <row r="23" spans="1:6" s="3" customFormat="1" ht="18" customHeight="1">
      <c r="A23" s="33" t="str">
        <f>IF(B23="","",_xlfn.XLOOKUP(B23,Tabella1[Descrizione articolo],Tabella1[Tariffa],FALSE,0))</f>
        <v/>
      </c>
      <c r="B23" s="17"/>
      <c r="C23" s="17" t="str">
        <f>IF(A23="","",VLOOKUP(A23,Tabella1[],3,FALSE))</f>
        <v/>
      </c>
      <c r="D23" s="36"/>
      <c r="E23" s="28" t="str">
        <f>IF(A23="","",VLOOKUP(A23,Tabella1[],4,FALSE))</f>
        <v/>
      </c>
      <c r="F23" s="59" t="str">
        <f t="shared" si="0"/>
        <v/>
      </c>
    </row>
    <row r="24" spans="1:6" s="3" customFormat="1" ht="18" customHeight="1">
      <c r="A24" s="33" t="str">
        <f>IF(B24="","",_xlfn.XLOOKUP(B24,Tabella1[Descrizione articolo],Tabella1[Tariffa],FALSE,0))</f>
        <v/>
      </c>
      <c r="B24" s="17"/>
      <c r="C24" s="17" t="str">
        <f>IF(A24="","",VLOOKUP(A24,Tabella1[],3,FALSE))</f>
        <v/>
      </c>
      <c r="D24" s="36"/>
      <c r="E24" s="28" t="str">
        <f>IF(A24="","",VLOOKUP(A24,Tabella1[],4,FALSE))</f>
        <v/>
      </c>
      <c r="F24" s="59" t="str">
        <f t="shared" si="0"/>
        <v/>
      </c>
    </row>
    <row r="25" spans="1:6" s="3" customFormat="1" ht="18" customHeight="1">
      <c r="A25" s="33" t="str">
        <f>IF(B25="","",_xlfn.XLOOKUP(B25,Tabella1[Descrizione articolo],Tabella1[Tariffa],FALSE,0))</f>
        <v/>
      </c>
      <c r="B25" s="17"/>
      <c r="C25" s="17" t="str">
        <f>IF(A25="","",VLOOKUP(A25,Tabella1[],3,FALSE))</f>
        <v/>
      </c>
      <c r="D25" s="36"/>
      <c r="E25" s="28" t="str">
        <f>IF(A25="","",VLOOKUP(A25,Tabella1[],4,FALSE))</f>
        <v/>
      </c>
      <c r="F25" s="59" t="str">
        <f t="shared" si="0"/>
        <v/>
      </c>
    </row>
    <row r="26" spans="1:6" s="3" customFormat="1" ht="18" customHeight="1">
      <c r="A26" s="33" t="str">
        <f>IF(B26="","",_xlfn.XLOOKUP(B26,Tabella1[Descrizione articolo],Tabella1[Tariffa],FALSE,0))</f>
        <v/>
      </c>
      <c r="B26" s="17"/>
      <c r="C26" s="17" t="str">
        <f>IF(A26="","",VLOOKUP(A26,Tabella1[],3,FALSE))</f>
        <v/>
      </c>
      <c r="D26" s="36"/>
      <c r="E26" s="28" t="str">
        <f>IF(A26="","",VLOOKUP(A26,Tabella1[],4,FALSE))</f>
        <v/>
      </c>
      <c r="F26" s="59" t="str">
        <f t="shared" si="0"/>
        <v/>
      </c>
    </row>
    <row r="27" spans="1:6" s="3" customFormat="1" ht="18" customHeight="1">
      <c r="A27" s="33" t="str">
        <f>IF(B27="","",_xlfn.XLOOKUP(B27,Tabella1[Descrizione articolo],Tabella1[Tariffa],FALSE,0))</f>
        <v/>
      </c>
      <c r="B27" s="17"/>
      <c r="C27" s="17" t="str">
        <f>IF(A27="","",VLOOKUP(A27,Tabella1[],3,FALSE))</f>
        <v/>
      </c>
      <c r="D27" s="36"/>
      <c r="E27" s="28" t="str">
        <f>IF(A27="","",VLOOKUP(A27,Tabella1[],4,FALSE))</f>
        <v/>
      </c>
      <c r="F27" s="59" t="str">
        <f t="shared" si="0"/>
        <v/>
      </c>
    </row>
    <row r="28" spans="1:6" s="3" customFormat="1" ht="18" customHeight="1">
      <c r="A28" s="33" t="str">
        <f>IF(B28="","",_xlfn.XLOOKUP(B28,Tabella1[Descrizione articolo],Tabella1[Tariffa],FALSE,0))</f>
        <v/>
      </c>
      <c r="B28" s="17"/>
      <c r="C28" s="17" t="str">
        <f>IF(A28="","",VLOOKUP(A28,Tabella1[],3,FALSE))</f>
        <v/>
      </c>
      <c r="D28" s="36"/>
      <c r="E28" s="28" t="str">
        <f>IF(A28="","",VLOOKUP(A28,Tabella1[],4,FALSE))</f>
        <v/>
      </c>
      <c r="F28" s="59" t="str">
        <f t="shared" si="0"/>
        <v/>
      </c>
    </row>
    <row r="29" spans="1:6" s="3" customFormat="1" ht="18" customHeight="1">
      <c r="A29" s="33" t="str">
        <f>IF(B29="","",_xlfn.XLOOKUP(B29,Tabella1[Descrizione articolo],Tabella1[Tariffa],FALSE,0))</f>
        <v/>
      </c>
      <c r="B29" s="17"/>
      <c r="C29" s="17" t="str">
        <f>IF(A29="","",VLOOKUP(A29,Tabella1[],3,FALSE))</f>
        <v/>
      </c>
      <c r="D29" s="36"/>
      <c r="E29" s="28" t="str">
        <f>IF(A29="","",VLOOKUP(A29,Tabella1[],4,FALSE))</f>
        <v/>
      </c>
      <c r="F29" s="59" t="str">
        <f t="shared" si="0"/>
        <v/>
      </c>
    </row>
    <row r="30" spans="1:6" s="3" customFormat="1" ht="18" customHeight="1">
      <c r="A30" s="33" t="str">
        <f>IF(B30="","",_xlfn.XLOOKUP(B30,Tabella1[Descrizione articolo],Tabella1[Tariffa],FALSE,0))</f>
        <v/>
      </c>
      <c r="B30" s="17"/>
      <c r="C30" s="17" t="str">
        <f>IF(A30="","",VLOOKUP(A30,Tabella1[],3,FALSE))</f>
        <v/>
      </c>
      <c r="D30" s="36"/>
      <c r="E30" s="28" t="str">
        <f>IF(A30="","",VLOOKUP(A30,Tabella1[],4,FALSE))</f>
        <v/>
      </c>
      <c r="F30" s="59" t="str">
        <f t="shared" si="0"/>
        <v/>
      </c>
    </row>
    <row r="31" spans="1:6" s="3" customFormat="1" ht="18" customHeight="1">
      <c r="A31" s="33" t="str">
        <f>IF(B31="","",_xlfn.XLOOKUP(B31,Tabella1[Descrizione articolo],Tabella1[Tariffa],FALSE,0))</f>
        <v/>
      </c>
      <c r="B31" s="17"/>
      <c r="C31" s="17" t="str">
        <f>IF(A31="","",VLOOKUP(A31,Tabella1[],3,FALSE))</f>
        <v/>
      </c>
      <c r="D31" s="36"/>
      <c r="E31" s="28" t="str">
        <f>IF(A31="","",VLOOKUP(A31,Tabella1[],4,FALSE))</f>
        <v/>
      </c>
      <c r="F31" s="59" t="str">
        <f t="shared" si="0"/>
        <v/>
      </c>
    </row>
    <row r="32" spans="1:6" s="3" customFormat="1" ht="18" customHeight="1">
      <c r="A32" s="33" t="str">
        <f>IF(B32="","",_xlfn.XLOOKUP(B32,Tabella1[Descrizione articolo],Tabella1[Tariffa],FALSE,0))</f>
        <v/>
      </c>
      <c r="B32" s="17"/>
      <c r="C32" s="17" t="str">
        <f>IF(A32="","",VLOOKUP(A32,Tabella1[],3,FALSE))</f>
        <v/>
      </c>
      <c r="D32" s="36"/>
      <c r="E32" s="28" t="str">
        <f>IF(A32="","",VLOOKUP(A32,Tabella1[],4,FALSE))</f>
        <v/>
      </c>
      <c r="F32" s="59" t="str">
        <f t="shared" si="0"/>
        <v/>
      </c>
    </row>
    <row r="33" spans="1:6" s="3" customFormat="1" ht="18" customHeight="1">
      <c r="A33" s="33" t="str">
        <f>IF(B33="","",_xlfn.XLOOKUP(B33,Tabella1[Descrizione articolo],Tabella1[Tariffa],FALSE,0))</f>
        <v/>
      </c>
      <c r="B33" s="17"/>
      <c r="C33" s="17" t="str">
        <f>IF(A33="","",VLOOKUP(A33,Tabella1[],3,FALSE))</f>
        <v/>
      </c>
      <c r="D33" s="36"/>
      <c r="E33" s="28" t="str">
        <f>IF(A33="","",VLOOKUP(A33,Tabella1[],4,FALSE))</f>
        <v/>
      </c>
      <c r="F33" s="59" t="str">
        <f t="shared" si="0"/>
        <v/>
      </c>
    </row>
    <row r="34" spans="1:6" s="3" customFormat="1" ht="18" customHeight="1">
      <c r="A34" s="34" t="str">
        <f>IF(B34="","",_xlfn.XLOOKUP(B34,Tabella1[Descrizione articolo],Tabella1[Tariffa],FALSE,0))</f>
        <v/>
      </c>
      <c r="B34" s="18"/>
      <c r="C34" s="18" t="str">
        <f>IF(A34="","",VLOOKUP(A34,Tabella1[],3,FALSE))</f>
        <v/>
      </c>
      <c r="D34" s="37"/>
      <c r="E34" s="29" t="str">
        <f>IF(A34="","",VLOOKUP(A34,Tabella1[],4,FALSE))</f>
        <v/>
      </c>
      <c r="F34" s="59" t="str">
        <f>IF(OR(D34="",E34=""),"",D34*E34)</f>
        <v/>
      </c>
    </row>
    <row r="35" spans="1:6" s="3" customFormat="1" ht="18" customHeight="1" thickBot="1">
      <c r="A35" s="19"/>
      <c r="B35" s="6"/>
      <c r="C35" s="6"/>
      <c r="D35" s="6"/>
      <c r="E35" s="20" t="s">
        <v>31</v>
      </c>
      <c r="F35" s="27">
        <f>SUM(F15:F34)</f>
        <v>0</v>
      </c>
    </row>
    <row r="36" spans="1:6" s="3" customFormat="1" ht="18" customHeight="1" thickBot="1">
      <c r="A36" s="19"/>
      <c r="B36" s="6"/>
      <c r="C36" s="20" t="s">
        <v>165</v>
      </c>
      <c r="D36" s="62">
        <v>0.02</v>
      </c>
      <c r="E36" s="63">
        <f>F35*D36</f>
        <v>0</v>
      </c>
      <c r="F36" s="27"/>
    </row>
    <row r="37" spans="1:6" s="3" customFormat="1" ht="18" customHeight="1" thickBot="1">
      <c r="A37" s="19"/>
      <c r="B37" s="64"/>
      <c r="C37" s="50" t="s">
        <v>30</v>
      </c>
      <c r="D37" s="39">
        <v>0</v>
      </c>
      <c r="E37" s="20" t="s">
        <v>32</v>
      </c>
      <c r="F37" s="27">
        <f>(F35-E36)*D37</f>
        <v>0</v>
      </c>
    </row>
    <row r="38" spans="1:6" s="3" customFormat="1" ht="18" customHeight="1" thickBot="1">
      <c r="A38" s="19"/>
      <c r="B38" s="6"/>
      <c r="C38" s="6"/>
      <c r="D38" s="6"/>
      <c r="E38" s="20" t="s">
        <v>19</v>
      </c>
      <c r="F38" s="27">
        <f>F35-F37</f>
        <v>0</v>
      </c>
    </row>
    <row r="39" spans="1:6" s="3" customFormat="1" ht="9" customHeight="1" thickBot="1"/>
    <row r="40" spans="1:6" s="3" customFormat="1">
      <c r="A40" s="84" t="s">
        <v>5</v>
      </c>
      <c r="B40" s="85"/>
      <c r="C40" s="48"/>
      <c r="E40" s="82" t="s">
        <v>6</v>
      </c>
      <c r="F40" s="83"/>
    </row>
    <row r="41" spans="1:6" s="3" customFormat="1" ht="25.5" customHeight="1">
      <c r="A41" s="74"/>
      <c r="B41" s="75"/>
      <c r="C41" s="49"/>
      <c r="E41" s="13"/>
      <c r="F41" s="9"/>
    </row>
    <row r="42" spans="1:6" s="3" customFormat="1" ht="6.75" customHeight="1" thickBot="1">
      <c r="A42" s="5"/>
      <c r="B42" s="7"/>
      <c r="E42" s="5"/>
      <c r="F42" s="7"/>
    </row>
    <row r="43" spans="1:6" s="3" customFormat="1" ht="13.5" thickBot="1">
      <c r="A43" s="23"/>
      <c r="B43" s="23"/>
      <c r="C43" s="23"/>
      <c r="D43" s="23"/>
      <c r="E43" s="23"/>
      <c r="F43" s="23"/>
    </row>
    <row r="44" spans="1:6" s="3" customFormat="1">
      <c r="E44" s="82" t="s">
        <v>7</v>
      </c>
      <c r="F44" s="83"/>
    </row>
    <row r="45" spans="1:6" s="3" customFormat="1" ht="25.5" customHeight="1">
      <c r="A45" s="102" t="s">
        <v>14</v>
      </c>
      <c r="B45" s="102"/>
      <c r="C45" s="45"/>
      <c r="E45" s="13"/>
      <c r="F45" s="9"/>
    </row>
    <row r="46" spans="1:6" s="3" customFormat="1" ht="6.75" customHeight="1" thickBot="1">
      <c r="E46" s="5"/>
      <c r="F46" s="7"/>
    </row>
    <row r="47" spans="1:6" s="3" customFormat="1" ht="13.5" thickBot="1">
      <c r="A47" s="24"/>
      <c r="B47" s="24"/>
      <c r="C47" s="24"/>
      <c r="D47" s="24"/>
      <c r="E47" s="24"/>
      <c r="F47" s="24"/>
    </row>
    <row r="48" spans="1:6" s="3" customFormat="1" ht="24" customHeight="1">
      <c r="A48" s="79" t="s">
        <v>11</v>
      </c>
      <c r="B48" s="80"/>
      <c r="C48" s="80"/>
      <c r="D48" s="80"/>
      <c r="E48" s="80"/>
      <c r="F48" s="81"/>
    </row>
    <row r="49" spans="1:6" s="3" customFormat="1">
      <c r="A49" s="14" t="s">
        <v>8</v>
      </c>
      <c r="B49" s="16" t="s">
        <v>0</v>
      </c>
      <c r="C49" s="16" t="s">
        <v>79</v>
      </c>
      <c r="D49" s="16" t="s">
        <v>2</v>
      </c>
      <c r="E49" s="16" t="s">
        <v>18</v>
      </c>
      <c r="F49" s="15" t="s">
        <v>17</v>
      </c>
    </row>
    <row r="50" spans="1:6" s="3" customFormat="1" ht="18" customHeight="1">
      <c r="A50" s="38" t="str">
        <f>IF(B50="","",_xlfn.XLOOKUP(B50,Tabella1[Descrizione articolo],Tabella1[Tariffa],FALSE,0))</f>
        <v/>
      </c>
      <c r="B50" s="17" t="str">
        <f>T(B15)</f>
        <v/>
      </c>
      <c r="C50" s="17" t="str">
        <f>IF(A50="","",VLOOKUP(A50,Tabella1[],3,FALSE))</f>
        <v/>
      </c>
      <c r="D50" s="35"/>
      <c r="E50" s="28" t="str">
        <f>IF(A50="","",VLOOKUP(A50,Tabella1[],4,FALSE))</f>
        <v/>
      </c>
      <c r="F50" s="59" t="str">
        <f>IF(OR(D50="",E50=""),"",D50*E50)</f>
        <v/>
      </c>
    </row>
    <row r="51" spans="1:6" s="3" customFormat="1" ht="18" customHeight="1">
      <c r="A51" s="38" t="str">
        <f>IF(B51="","",_xlfn.XLOOKUP(B51,Tabella1[Descrizione articolo],Tabella1[Tariffa],FALSE,0))</f>
        <v/>
      </c>
      <c r="B51" s="17" t="str">
        <f t="shared" ref="B51:B69" si="1">T(B16)</f>
        <v/>
      </c>
      <c r="C51" s="17" t="str">
        <f>IF(A51="","",VLOOKUP(A51,Tabella1[],3,FALSE))</f>
        <v/>
      </c>
      <c r="D51" s="35"/>
      <c r="E51" s="28" t="str">
        <f>IF(A51="","",VLOOKUP(A51,Tabella1[],4,FALSE))</f>
        <v/>
      </c>
      <c r="F51" s="59" t="str">
        <f t="shared" ref="F51" si="2">IF(OR(D51="",E51=""),"",D51*E51)</f>
        <v/>
      </c>
    </row>
    <row r="52" spans="1:6" s="3" customFormat="1" ht="18" customHeight="1">
      <c r="A52" s="38" t="str">
        <f>IF(B52="","",_xlfn.XLOOKUP(B52,Tabella1[Descrizione articolo],Tabella1[Tariffa],FALSE,0))</f>
        <v/>
      </c>
      <c r="B52" s="17" t="str">
        <f t="shared" si="1"/>
        <v/>
      </c>
      <c r="C52" s="17" t="str">
        <f>IF(A52="","",VLOOKUP(A52,Tabella1[],3,FALSE))</f>
        <v/>
      </c>
      <c r="D52" s="35"/>
      <c r="E52" s="28" t="str">
        <f>IF(A52="","",VLOOKUP(A52,Tabella1[],4,FALSE))</f>
        <v/>
      </c>
      <c r="F52" s="59" t="str">
        <f t="shared" ref="F52:F69" si="3">IF(OR(D52="",E52=""),"",D52*E52)</f>
        <v/>
      </c>
    </row>
    <row r="53" spans="1:6" s="3" customFormat="1" ht="18" customHeight="1">
      <c r="A53" s="38" t="str">
        <f>IF(B53="","",_xlfn.XLOOKUP(B53,Tabella1[Descrizione articolo],Tabella1[Tariffa],FALSE,0))</f>
        <v/>
      </c>
      <c r="B53" s="17" t="str">
        <f t="shared" si="1"/>
        <v/>
      </c>
      <c r="C53" s="17" t="str">
        <f>IF(A53="","",VLOOKUP(A53,Tabella1[],3,FALSE))</f>
        <v/>
      </c>
      <c r="D53" s="35"/>
      <c r="E53" s="28" t="str">
        <f>IF(A53="","",VLOOKUP(A53,Tabella1[],4,FALSE))</f>
        <v/>
      </c>
      <c r="F53" s="59" t="str">
        <f t="shared" si="3"/>
        <v/>
      </c>
    </row>
    <row r="54" spans="1:6" s="3" customFormat="1" ht="18" customHeight="1">
      <c r="A54" s="38" t="str">
        <f>IF(B54="","",_xlfn.XLOOKUP(B54,Tabella1[Descrizione articolo],Tabella1[Tariffa],FALSE,0))</f>
        <v/>
      </c>
      <c r="B54" s="17" t="str">
        <f t="shared" si="1"/>
        <v/>
      </c>
      <c r="C54" s="17" t="str">
        <f>IF(A54="","",VLOOKUP(A54,Tabella1[],3,FALSE))</f>
        <v/>
      </c>
      <c r="D54" s="35"/>
      <c r="E54" s="28" t="str">
        <f>IF(A54="","",VLOOKUP(A54,Tabella1[],4,FALSE))</f>
        <v/>
      </c>
      <c r="F54" s="59" t="str">
        <f t="shared" si="3"/>
        <v/>
      </c>
    </row>
    <row r="55" spans="1:6" s="3" customFormat="1" ht="18" customHeight="1">
      <c r="A55" s="38" t="str">
        <f>IF(B55="","",_xlfn.XLOOKUP(B55,Tabella1[Descrizione articolo],Tabella1[Tariffa],FALSE,0))</f>
        <v/>
      </c>
      <c r="B55" s="17" t="str">
        <f t="shared" si="1"/>
        <v/>
      </c>
      <c r="C55" s="17" t="str">
        <f>IF(A55="","",VLOOKUP(A55,Tabella1[],3,FALSE))</f>
        <v/>
      </c>
      <c r="D55" s="35"/>
      <c r="E55" s="28" t="str">
        <f>IF(A55="","",VLOOKUP(A55,Tabella1[],4,FALSE))</f>
        <v/>
      </c>
      <c r="F55" s="59" t="str">
        <f t="shared" si="3"/>
        <v/>
      </c>
    </row>
    <row r="56" spans="1:6" s="3" customFormat="1" ht="18" customHeight="1">
      <c r="A56" s="38" t="str">
        <f>IF(B56="","",_xlfn.XLOOKUP(B56,Tabella1[Descrizione articolo],Tabella1[Tariffa],FALSE,0))</f>
        <v/>
      </c>
      <c r="B56" s="17" t="str">
        <f t="shared" si="1"/>
        <v/>
      </c>
      <c r="C56" s="17" t="str">
        <f>IF(A56="","",VLOOKUP(A56,Tabella1[],3,FALSE))</f>
        <v/>
      </c>
      <c r="D56" s="35"/>
      <c r="E56" s="28" t="str">
        <f>IF(A56="","",VLOOKUP(A56,Tabella1[],4,FALSE))</f>
        <v/>
      </c>
      <c r="F56" s="59" t="str">
        <f t="shared" si="3"/>
        <v/>
      </c>
    </row>
    <row r="57" spans="1:6" s="3" customFormat="1" ht="18" customHeight="1">
      <c r="A57" s="38" t="str">
        <f>IF(B57="","",_xlfn.XLOOKUP(B57,Tabella1[Descrizione articolo],Tabella1[Tariffa],FALSE,0))</f>
        <v/>
      </c>
      <c r="B57" s="17" t="str">
        <f t="shared" si="1"/>
        <v/>
      </c>
      <c r="C57" s="17" t="str">
        <f>IF(A57="","",VLOOKUP(A57,Tabella1[],3,FALSE))</f>
        <v/>
      </c>
      <c r="D57" s="35"/>
      <c r="E57" s="28" t="str">
        <f>IF(A57="","",VLOOKUP(A57,Tabella1[],4,FALSE))</f>
        <v/>
      </c>
      <c r="F57" s="59" t="str">
        <f t="shared" si="3"/>
        <v/>
      </c>
    </row>
    <row r="58" spans="1:6" s="3" customFormat="1" ht="18" customHeight="1">
      <c r="A58" s="38" t="str">
        <f>IF(B58="","",_xlfn.XLOOKUP(B58,Tabella1[Descrizione articolo],Tabella1[Tariffa],FALSE,0))</f>
        <v/>
      </c>
      <c r="B58" s="17" t="str">
        <f t="shared" si="1"/>
        <v/>
      </c>
      <c r="C58" s="17" t="str">
        <f>IF(A58="","",VLOOKUP(A58,Tabella1[],3,FALSE))</f>
        <v/>
      </c>
      <c r="D58" s="35"/>
      <c r="E58" s="28" t="str">
        <f>IF(A58="","",VLOOKUP(A58,Tabella1[],4,FALSE))</f>
        <v/>
      </c>
      <c r="F58" s="59" t="str">
        <f t="shared" si="3"/>
        <v/>
      </c>
    </row>
    <row r="59" spans="1:6" s="3" customFormat="1" ht="18" customHeight="1">
      <c r="A59" s="38" t="str">
        <f>IF(B59="","",_xlfn.XLOOKUP(B59,Tabella1[Descrizione articolo],Tabella1[Tariffa],FALSE,0))</f>
        <v/>
      </c>
      <c r="B59" s="17" t="str">
        <f t="shared" si="1"/>
        <v/>
      </c>
      <c r="C59" s="17" t="str">
        <f>IF(A59="","",VLOOKUP(A59,Tabella1[],3,FALSE))</f>
        <v/>
      </c>
      <c r="D59" s="35"/>
      <c r="E59" s="28" t="str">
        <f>IF(A59="","",VLOOKUP(A59,Tabella1[],4,FALSE))</f>
        <v/>
      </c>
      <c r="F59" s="59" t="str">
        <f t="shared" si="3"/>
        <v/>
      </c>
    </row>
    <row r="60" spans="1:6" s="3" customFormat="1" ht="18" customHeight="1">
      <c r="A60" s="38" t="str">
        <f>IF(B60="","",_xlfn.XLOOKUP(B60,Tabella1[Descrizione articolo],Tabella1[Tariffa],FALSE,0))</f>
        <v/>
      </c>
      <c r="B60" s="17" t="str">
        <f t="shared" si="1"/>
        <v/>
      </c>
      <c r="C60" s="17" t="str">
        <f>IF(A60="","",VLOOKUP(A60,Tabella1[],3,FALSE))</f>
        <v/>
      </c>
      <c r="D60" s="35"/>
      <c r="E60" s="28" t="str">
        <f>IF(A60="","",VLOOKUP(A60,Tabella1[],4,FALSE))</f>
        <v/>
      </c>
      <c r="F60" s="59" t="str">
        <f t="shared" si="3"/>
        <v/>
      </c>
    </row>
    <row r="61" spans="1:6" s="3" customFormat="1" ht="18" customHeight="1">
      <c r="A61" s="38" t="str">
        <f>IF(B61="","",_xlfn.XLOOKUP(B61,Tabella1[Descrizione articolo],Tabella1[Tariffa],FALSE,0))</f>
        <v/>
      </c>
      <c r="B61" s="17" t="str">
        <f t="shared" si="1"/>
        <v/>
      </c>
      <c r="C61" s="17" t="str">
        <f>IF(A61="","",VLOOKUP(A61,Tabella1[],3,FALSE))</f>
        <v/>
      </c>
      <c r="D61" s="35"/>
      <c r="E61" s="28" t="str">
        <f>IF(A61="","",VLOOKUP(A61,Tabella1[],4,FALSE))</f>
        <v/>
      </c>
      <c r="F61" s="59" t="str">
        <f t="shared" si="3"/>
        <v/>
      </c>
    </row>
    <row r="62" spans="1:6" s="3" customFormat="1" ht="18" customHeight="1">
      <c r="A62" s="38" t="str">
        <f>IF(B62="","",_xlfn.XLOOKUP(B62,Tabella1[Descrizione articolo],Tabella1[Tariffa],FALSE,0))</f>
        <v/>
      </c>
      <c r="B62" s="17" t="str">
        <f t="shared" si="1"/>
        <v/>
      </c>
      <c r="C62" s="17" t="str">
        <f>IF(A62="","",VLOOKUP(A62,Tabella1[],3,FALSE))</f>
        <v/>
      </c>
      <c r="D62" s="35"/>
      <c r="E62" s="28" t="str">
        <f>IF(A62="","",VLOOKUP(A62,Tabella1[],4,FALSE))</f>
        <v/>
      </c>
      <c r="F62" s="59" t="str">
        <f t="shared" si="3"/>
        <v/>
      </c>
    </row>
    <row r="63" spans="1:6" s="3" customFormat="1" ht="18" customHeight="1">
      <c r="A63" s="38" t="str">
        <f>IF(B63="","",_xlfn.XLOOKUP(B63,Tabella1[Descrizione articolo],Tabella1[Tariffa],FALSE,0))</f>
        <v/>
      </c>
      <c r="B63" s="17" t="str">
        <f t="shared" si="1"/>
        <v/>
      </c>
      <c r="C63" s="17" t="str">
        <f>IF(A63="","",VLOOKUP(A63,Tabella1[],3,FALSE))</f>
        <v/>
      </c>
      <c r="D63" s="35"/>
      <c r="E63" s="28" t="str">
        <f>IF(A63="","",VLOOKUP(A63,Tabella1[],4,FALSE))</f>
        <v/>
      </c>
      <c r="F63" s="59" t="str">
        <f t="shared" si="3"/>
        <v/>
      </c>
    </row>
    <row r="64" spans="1:6" s="3" customFormat="1" ht="18" customHeight="1">
      <c r="A64" s="38" t="str">
        <f>IF(B64="","",_xlfn.XLOOKUP(B64,Tabella1[Descrizione articolo],Tabella1[Tariffa],FALSE,0))</f>
        <v/>
      </c>
      <c r="B64" s="17" t="str">
        <f t="shared" si="1"/>
        <v/>
      </c>
      <c r="C64" s="17" t="str">
        <f>IF(A64="","",VLOOKUP(A64,Tabella1[],3,FALSE))</f>
        <v/>
      </c>
      <c r="D64" s="35"/>
      <c r="E64" s="28" t="str">
        <f>IF(A64="","",VLOOKUP(A64,Tabella1[],4,FALSE))</f>
        <v/>
      </c>
      <c r="F64" s="59" t="str">
        <f t="shared" si="3"/>
        <v/>
      </c>
    </row>
    <row r="65" spans="1:6" s="3" customFormat="1" ht="18" customHeight="1">
      <c r="A65" s="38" t="str">
        <f>IF(B65="","",_xlfn.XLOOKUP(B65,Tabella1[Descrizione articolo],Tabella1[Tariffa],FALSE,0))</f>
        <v/>
      </c>
      <c r="B65" s="17" t="str">
        <f t="shared" si="1"/>
        <v/>
      </c>
      <c r="C65" s="17" t="str">
        <f>IF(A65="","",VLOOKUP(A65,Tabella1[],3,FALSE))</f>
        <v/>
      </c>
      <c r="D65" s="35"/>
      <c r="E65" s="28" t="str">
        <f>IF(A65="","",VLOOKUP(A65,Tabella1[],4,FALSE))</f>
        <v/>
      </c>
      <c r="F65" s="59" t="str">
        <f t="shared" si="3"/>
        <v/>
      </c>
    </row>
    <row r="66" spans="1:6" s="3" customFormat="1" ht="18" customHeight="1">
      <c r="A66" s="38" t="str">
        <f>IF(B66="","",_xlfn.XLOOKUP(B66,Tabella1[Descrizione articolo],Tabella1[Tariffa],FALSE,0))</f>
        <v/>
      </c>
      <c r="B66" s="17" t="str">
        <f t="shared" si="1"/>
        <v/>
      </c>
      <c r="C66" s="17" t="str">
        <f>IF(A66="","",VLOOKUP(A66,Tabella1[],3,FALSE))</f>
        <v/>
      </c>
      <c r="D66" s="35"/>
      <c r="E66" s="28" t="str">
        <f>IF(A66="","",VLOOKUP(A66,Tabella1[],4,FALSE))</f>
        <v/>
      </c>
      <c r="F66" s="59" t="str">
        <f t="shared" si="3"/>
        <v/>
      </c>
    </row>
    <row r="67" spans="1:6" s="3" customFormat="1" ht="18" customHeight="1">
      <c r="A67" s="38" t="str">
        <f>IF(B67="","",_xlfn.XLOOKUP(B67,Tabella1[Descrizione articolo],Tabella1[Tariffa],FALSE,0))</f>
        <v/>
      </c>
      <c r="B67" s="17" t="str">
        <f t="shared" si="1"/>
        <v/>
      </c>
      <c r="C67" s="17" t="str">
        <f>IF(A67="","",VLOOKUP(A67,Tabella1[],3,FALSE))</f>
        <v/>
      </c>
      <c r="D67" s="35"/>
      <c r="E67" s="28" t="str">
        <f>IF(A67="","",VLOOKUP(A67,Tabella1[],4,FALSE))</f>
        <v/>
      </c>
      <c r="F67" s="59" t="str">
        <f t="shared" si="3"/>
        <v/>
      </c>
    </row>
    <row r="68" spans="1:6" s="3" customFormat="1" ht="18" customHeight="1">
      <c r="A68" s="38" t="str">
        <f>IF(B68="","",_xlfn.XLOOKUP(B68,Tabella1[Descrizione articolo],Tabella1[Tariffa],FALSE,0))</f>
        <v/>
      </c>
      <c r="B68" s="17" t="str">
        <f t="shared" si="1"/>
        <v/>
      </c>
      <c r="C68" s="17" t="str">
        <f>IF(A68="","",VLOOKUP(A68,Tabella1[],3,FALSE))</f>
        <v/>
      </c>
      <c r="D68" s="35"/>
      <c r="E68" s="28" t="str">
        <f>IF(A68="","",VLOOKUP(A68,Tabella1[],4,FALSE))</f>
        <v/>
      </c>
      <c r="F68" s="59" t="str">
        <f t="shared" si="3"/>
        <v/>
      </c>
    </row>
    <row r="69" spans="1:6" s="3" customFormat="1" ht="18" customHeight="1">
      <c r="A69" s="34" t="str">
        <f>IF(B69="","",_xlfn.XLOOKUP(B69,Tabella1[Descrizione articolo],Tabella1[Tariffa],FALSE,0))</f>
        <v/>
      </c>
      <c r="B69" s="18" t="str">
        <f t="shared" si="1"/>
        <v/>
      </c>
      <c r="C69" s="18" t="str">
        <f>IF(A69="","",VLOOKUP(A69,Tabella1[],3,FALSE))</f>
        <v/>
      </c>
      <c r="D69" s="37"/>
      <c r="E69" s="29" t="str">
        <f>IF(A69="","",VLOOKUP(A69,Tabella1[],4,FALSE))</f>
        <v/>
      </c>
      <c r="F69" s="61" t="str">
        <f t="shared" si="3"/>
        <v/>
      </c>
    </row>
    <row r="70" spans="1:6" s="3" customFormat="1" ht="18" customHeight="1" thickBot="1">
      <c r="A70" s="19"/>
      <c r="B70" s="6"/>
      <c r="C70" s="6"/>
      <c r="D70" s="6"/>
      <c r="E70" s="20" t="s">
        <v>20</v>
      </c>
      <c r="F70" s="60">
        <f>SUM(F50:F69)</f>
        <v>0</v>
      </c>
    </row>
    <row r="71" spans="1:6" s="3" customFormat="1" ht="18" customHeight="1" thickBot="1">
      <c r="A71" s="19"/>
      <c r="B71" s="6"/>
      <c r="C71" s="20" t="s">
        <v>165</v>
      </c>
      <c r="D71" s="62">
        <f>D36</f>
        <v>0.02</v>
      </c>
      <c r="E71" s="63">
        <f>F70*D71</f>
        <v>0</v>
      </c>
      <c r="F71" s="27"/>
    </row>
    <row r="72" spans="1:6" s="3" customFormat="1" ht="18" customHeight="1" thickBot="1">
      <c r="A72" s="19"/>
      <c r="B72" s="65"/>
      <c r="C72" s="51" t="s">
        <v>30</v>
      </c>
      <c r="D72" s="40">
        <f>D37</f>
        <v>0</v>
      </c>
      <c r="E72" s="20" t="s">
        <v>32</v>
      </c>
      <c r="F72" s="27">
        <f>(F70-E71)*D72</f>
        <v>0</v>
      </c>
    </row>
    <row r="73" spans="1:6" s="3" customFormat="1" ht="18" customHeight="1" thickBot="1">
      <c r="A73" s="19"/>
      <c r="B73" s="6"/>
      <c r="C73" s="6"/>
      <c r="D73" s="6"/>
      <c r="E73" s="20" t="s">
        <v>19</v>
      </c>
      <c r="F73" s="27">
        <f>F70-F72</f>
        <v>0</v>
      </c>
    </row>
    <row r="74" spans="1:6" s="3" customFormat="1" ht="13.5" thickBot="1">
      <c r="A74" s="103" t="s">
        <v>15</v>
      </c>
      <c r="B74" s="103"/>
      <c r="C74" s="103"/>
      <c r="D74" s="103"/>
      <c r="E74" s="103"/>
      <c r="F74" s="103"/>
    </row>
    <row r="75" spans="1:6" s="3" customFormat="1">
      <c r="A75" s="25" t="s">
        <v>9</v>
      </c>
      <c r="B75" s="11"/>
      <c r="C75" s="11"/>
      <c r="D75" s="11"/>
      <c r="E75" s="11"/>
      <c r="F75" s="12"/>
    </row>
    <row r="76" spans="1:6" s="3" customFormat="1" ht="18" customHeight="1">
      <c r="A76" s="86"/>
      <c r="B76" s="87"/>
      <c r="C76" s="87"/>
      <c r="D76" s="87"/>
      <c r="E76" s="87"/>
      <c r="F76" s="88"/>
    </row>
    <row r="77" spans="1:6" s="3" customFormat="1" ht="18" customHeight="1" thickBot="1">
      <c r="A77" s="92"/>
      <c r="B77" s="93"/>
      <c r="C77" s="93"/>
      <c r="D77" s="93"/>
      <c r="E77" s="93"/>
      <c r="F77" s="94"/>
    </row>
    <row r="78" spans="1:6" s="3" customFormat="1" ht="9" customHeight="1" thickBot="1"/>
    <row r="79" spans="1:6" s="3" customFormat="1" ht="30.75" customHeight="1">
      <c r="A79" s="2" t="s">
        <v>12</v>
      </c>
      <c r="C79" s="99" t="s">
        <v>16</v>
      </c>
      <c r="D79" s="100"/>
      <c r="E79" s="100"/>
      <c r="F79" s="101"/>
    </row>
    <row r="80" spans="1:6" s="3" customFormat="1" ht="25.5" customHeight="1">
      <c r="A80" s="32"/>
      <c r="C80" s="13"/>
      <c r="D80" s="8"/>
      <c r="E80" s="8"/>
      <c r="F80" s="9"/>
    </row>
    <row r="81" spans="1:6" s="3" customFormat="1" ht="6.75" customHeight="1" thickBot="1">
      <c r="A81" s="4"/>
      <c r="C81" s="5"/>
      <c r="D81" s="6"/>
      <c r="E81" s="6"/>
      <c r="F81" s="7"/>
    </row>
    <row r="82" spans="1:6" s="3" customFormat="1"/>
    <row r="83" spans="1:6" s="3" customFormat="1"/>
    <row r="84" spans="1:6" s="3" customFormat="1"/>
    <row r="85" spans="1:6" s="3" customFormat="1"/>
    <row r="86" spans="1:6" s="3" customFormat="1"/>
    <row r="87" spans="1:6" s="3" customFormat="1"/>
    <row r="88" spans="1:6" s="3" customFormat="1"/>
    <row r="89" spans="1:6" s="3" customFormat="1"/>
  </sheetData>
  <sheetProtection selectLockedCells="1"/>
  <dataConsolidate/>
  <mergeCells count="15">
    <mergeCell ref="A76:F77"/>
    <mergeCell ref="C79:F79"/>
    <mergeCell ref="E44:F44"/>
    <mergeCell ref="A48:F48"/>
    <mergeCell ref="A45:B45"/>
    <mergeCell ref="A74:F74"/>
    <mergeCell ref="A41:B41"/>
    <mergeCell ref="A1:F1"/>
    <mergeCell ref="A13:F13"/>
    <mergeCell ref="E40:F40"/>
    <mergeCell ref="A40:B40"/>
    <mergeCell ref="A8:F11"/>
    <mergeCell ref="C3:D3"/>
    <mergeCell ref="C4:D4"/>
    <mergeCell ref="C5:D5"/>
  </mergeCells>
  <phoneticPr fontId="2" type="noConversion"/>
  <dataValidations count="6">
    <dataValidation type="list" showInputMessage="1" showErrorMessage="1" errorTitle="ATTENZIONE!" error="Selezionare una opzione_x000a_SINISTRO o MANUTENZIONE" promptTitle="Tipo di intervento" prompt="Specificare se si tratta di SINISTRO o MANUTENZIONE" sqref="B4" xr:uid="{00000000-0002-0000-0100-000000000000}">
      <formula1>"SINISTRO, MANUTENZIONE STRAORDINARIA"</formula1>
    </dataValidation>
    <dataValidation allowBlank="1" showInputMessage="1" promptTitle="Inserire riferimento" prompt="Deve essere un codice progressivo composto da:_x000a_XX AA 99_x000a_dove:_x000a_XX=Iniziali ditta_x000a_AA=Anno di riferimeno_x000a_99=Progressivo_x000a_Esempio_x000a_TZ 10 05 = Modulo n°5 del 2010 redatto da TiZio" sqref="A4" xr:uid="{00000000-0002-0000-0100-000001000000}"/>
    <dataValidation type="list" allowBlank="1" showInputMessage="1" showErrorMessage="1" promptTitle="Tipo segnalazione" prompt="Indicare chi ha fatto segnalazione" sqref="E4" xr:uid="{00000000-0002-0000-0100-000002000000}">
      <formula1>"Cittadinanza,Ispezione periodica, Polizia Municipale, Ufficio Sindaco, Ufficio Tecnico"</formula1>
    </dataValidation>
    <dataValidation allowBlank="1" showInputMessage="1" showErrorMessage="1" promptTitle="Data della segnalazione" sqref="C4:D4" xr:uid="{00000000-0002-0000-0100-000003000000}"/>
    <dataValidation allowBlank="1" showInputMessage="1" showErrorMessage="1" promptTitle="Rif. PC o PC" prompt="Indicare il riferimento del censimento" sqref="F4" xr:uid="{00000000-0002-0000-0100-000004000000}"/>
    <dataValidation allowBlank="1" showInputMessage="1" showErrorMessage="1" promptTitle="Descrizione" prompt="Fare una descrizione dell'intervento dettagliata e precisa indicando a cosa si riferisce, dove, elenco delle operazioni previste ed altri dettagli utili per la completezza delle info. Eventuali lavori in economia DEVONO essere motivati." sqref="A8:F11" xr:uid="{00000000-0002-0000-0100-000005000000}"/>
  </dataValidations>
  <pageMargins left="0.23622047244094491" right="0.23622047244094491" top="0.51181102362204722" bottom="0.31496062992125984" header="0.31496062992125984" footer="0.23622047244094491"/>
  <pageSetup paperSize="9" orientation="portrait" r:id="rId1"/>
  <headerFooter alignWithMargins="0">
    <oddHeader>&amp;C&amp;"Arial,Grassetto"Comune di BRA</oddHeader>
    <oddFooter>&amp;C&amp;"Arial,Corsivo"&amp;8&amp;F</oddFooter>
  </headerFooter>
  <rowBreaks count="1" manualBreakCount="1">
    <brk id="47" max="16383" man="1"/>
  </rowBreaks>
  <cellWatches>
    <cellWatch r="B4"/>
  </cellWatch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BFE4FDB-85DE-4A48-9334-29B38AA95E94}">
          <x14:formula1>
            <xm:f>'Elenco prezzi'!$B:$B</xm:f>
          </x14:formula1>
          <xm:sqref>B15:B33</xm:sqref>
        </x14:dataValidation>
        <x14:dataValidation type="list" allowBlank="1" showInputMessage="1" showErrorMessage="1" xr:uid="{4289A566-46F2-4972-AD0B-BA2787F5F994}">
          <x14:formula1>
            <xm:f>'Elenco prezzi'!$B$2:$B$90</xm:f>
          </x14:formula1>
          <xm:sqref>B50:B69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showGridLines="0" topLeftCell="A4" workbookViewId="0">
      <selection activeCell="A16" sqref="A16"/>
    </sheetView>
  </sheetViews>
  <sheetFormatPr defaultRowHeight="12.75"/>
  <cols>
    <col min="1" max="1" width="15.5703125" style="1" customWidth="1"/>
    <col min="2" max="2" width="44" style="1" customWidth="1"/>
    <col min="3" max="4" width="6.7109375" style="1" customWidth="1"/>
    <col min="5" max="6" width="13.7109375" style="1" customWidth="1"/>
    <col min="7" max="16384" width="9.140625" style="1"/>
  </cols>
  <sheetData>
    <row r="1" spans="1:6" ht="17.25" thickTop="1" thickBot="1">
      <c r="A1" s="76" t="s">
        <v>21</v>
      </c>
      <c r="B1" s="77"/>
      <c r="C1" s="77"/>
      <c r="D1" s="77"/>
      <c r="E1" s="77"/>
      <c r="F1" s="78"/>
    </row>
    <row r="2" spans="1:6" ht="9" customHeight="1" thickTop="1" thickBot="1"/>
    <row r="3" spans="1:6" s="22" customFormat="1" ht="36" customHeight="1">
      <c r="A3" s="21" t="s">
        <v>22</v>
      </c>
      <c r="B3" s="108" t="s">
        <v>81</v>
      </c>
      <c r="C3" s="109"/>
      <c r="D3" s="109"/>
      <c r="E3" s="110"/>
      <c r="F3" s="21" t="s">
        <v>24</v>
      </c>
    </row>
    <row r="4" spans="1:6" s="3" customFormat="1" ht="25.5" customHeight="1">
      <c r="A4" s="31" t="s">
        <v>23</v>
      </c>
      <c r="F4" s="32"/>
    </row>
    <row r="5" spans="1:6" s="3" customFormat="1" ht="6.75" customHeight="1" thickBot="1">
      <c r="A5" s="4"/>
      <c r="F5" s="4"/>
    </row>
    <row r="6" spans="1:6" s="3" customFormat="1" ht="9" customHeight="1" thickBot="1"/>
    <row r="7" spans="1:6" s="3" customFormat="1">
      <c r="A7" s="10" t="s">
        <v>25</v>
      </c>
      <c r="B7" s="11"/>
      <c r="C7" s="11"/>
      <c r="D7" s="11"/>
      <c r="E7" s="11"/>
      <c r="F7" s="12"/>
    </row>
    <row r="8" spans="1:6" s="3" customFormat="1" ht="18" customHeight="1">
      <c r="A8" s="86"/>
      <c r="B8" s="87"/>
      <c r="C8" s="87"/>
      <c r="D8" s="87"/>
      <c r="E8" s="87"/>
      <c r="F8" s="88"/>
    </row>
    <row r="9" spans="1:6" s="3" customFormat="1" ht="18" customHeight="1">
      <c r="A9" s="89"/>
      <c r="B9" s="90"/>
      <c r="C9" s="90"/>
      <c r="D9" s="90"/>
      <c r="E9" s="90"/>
      <c r="F9" s="91"/>
    </row>
    <row r="10" spans="1:6" s="3" customFormat="1" ht="18" customHeight="1">
      <c r="A10" s="89"/>
      <c r="B10" s="90"/>
      <c r="C10" s="90"/>
      <c r="D10" s="90"/>
      <c r="E10" s="90"/>
      <c r="F10" s="91"/>
    </row>
    <row r="11" spans="1:6" s="3" customFormat="1" ht="18" customHeight="1" thickBot="1">
      <c r="A11" s="92"/>
      <c r="B11" s="93"/>
      <c r="C11" s="93"/>
      <c r="D11" s="93"/>
      <c r="E11" s="93"/>
      <c r="F11" s="94"/>
    </row>
    <row r="12" spans="1:6" s="3" customFormat="1" ht="9" customHeight="1" thickBot="1"/>
    <row r="13" spans="1:6" s="3" customFormat="1" ht="24" customHeight="1">
      <c r="A13" s="79" t="s">
        <v>27</v>
      </c>
      <c r="B13" s="80"/>
      <c r="C13" s="80"/>
      <c r="D13" s="80"/>
      <c r="E13" s="80"/>
      <c r="F13" s="81"/>
    </row>
    <row r="14" spans="1:6" s="3" customFormat="1">
      <c r="A14" s="14" t="s">
        <v>8</v>
      </c>
      <c r="B14" s="16" t="s">
        <v>0</v>
      </c>
      <c r="C14" s="16" t="s">
        <v>79</v>
      </c>
      <c r="D14" s="16" t="s">
        <v>2</v>
      </c>
      <c r="E14" s="16" t="s">
        <v>18</v>
      </c>
      <c r="F14" s="15" t="s">
        <v>17</v>
      </c>
    </row>
    <row r="15" spans="1:6" s="3" customFormat="1" ht="18" customHeight="1">
      <c r="A15" s="33"/>
      <c r="B15" s="35"/>
      <c r="C15" s="35"/>
      <c r="D15" s="35"/>
      <c r="E15" s="42"/>
      <c r="F15" s="26">
        <f>D15*E15</f>
        <v>0</v>
      </c>
    </row>
    <row r="16" spans="1:6" s="3" customFormat="1" ht="18" customHeight="1">
      <c r="A16" s="38"/>
      <c r="B16" s="36"/>
      <c r="C16" s="36"/>
      <c r="D16" s="36"/>
      <c r="E16" s="43"/>
      <c r="F16" s="26">
        <f t="shared" ref="F16:F28" si="0">D16*E16</f>
        <v>0</v>
      </c>
    </row>
    <row r="17" spans="1:6" s="3" customFormat="1" ht="18" customHeight="1">
      <c r="A17" s="38"/>
      <c r="B17" s="36"/>
      <c r="C17" s="36"/>
      <c r="D17" s="36"/>
      <c r="E17" s="43"/>
      <c r="F17" s="26">
        <f t="shared" si="0"/>
        <v>0</v>
      </c>
    </row>
    <row r="18" spans="1:6" s="3" customFormat="1" ht="18" customHeight="1">
      <c r="A18" s="38"/>
      <c r="B18" s="36"/>
      <c r="C18" s="36"/>
      <c r="D18" s="36"/>
      <c r="E18" s="43"/>
      <c r="F18" s="26">
        <f t="shared" si="0"/>
        <v>0</v>
      </c>
    </row>
    <row r="19" spans="1:6" s="3" customFormat="1" ht="18" customHeight="1">
      <c r="A19" s="38"/>
      <c r="B19" s="36"/>
      <c r="C19" s="36"/>
      <c r="D19" s="36"/>
      <c r="E19" s="43"/>
      <c r="F19" s="26">
        <f t="shared" si="0"/>
        <v>0</v>
      </c>
    </row>
    <row r="20" spans="1:6" s="3" customFormat="1" ht="18" customHeight="1">
      <c r="A20" s="38"/>
      <c r="B20" s="36"/>
      <c r="C20" s="36"/>
      <c r="D20" s="36"/>
      <c r="E20" s="43"/>
      <c r="F20" s="26">
        <f t="shared" si="0"/>
        <v>0</v>
      </c>
    </row>
    <row r="21" spans="1:6" s="3" customFormat="1" ht="18" customHeight="1">
      <c r="A21" s="38"/>
      <c r="B21" s="36"/>
      <c r="C21" s="36"/>
      <c r="D21" s="36"/>
      <c r="E21" s="43"/>
      <c r="F21" s="26">
        <f t="shared" si="0"/>
        <v>0</v>
      </c>
    </row>
    <row r="22" spans="1:6" s="3" customFormat="1" ht="18" customHeight="1">
      <c r="A22" s="38"/>
      <c r="B22" s="36"/>
      <c r="C22" s="36"/>
      <c r="D22" s="36"/>
      <c r="E22" s="43"/>
      <c r="F22" s="26">
        <f t="shared" si="0"/>
        <v>0</v>
      </c>
    </row>
    <row r="23" spans="1:6" s="3" customFormat="1" ht="18" customHeight="1">
      <c r="A23" s="38"/>
      <c r="B23" s="36"/>
      <c r="C23" s="36"/>
      <c r="D23" s="36"/>
      <c r="E23" s="43"/>
      <c r="F23" s="26">
        <f t="shared" si="0"/>
        <v>0</v>
      </c>
    </row>
    <row r="24" spans="1:6" s="3" customFormat="1" ht="18" customHeight="1">
      <c r="A24" s="38"/>
      <c r="B24" s="36"/>
      <c r="C24" s="36"/>
      <c r="D24" s="36"/>
      <c r="E24" s="43"/>
      <c r="F24" s="26">
        <f t="shared" si="0"/>
        <v>0</v>
      </c>
    </row>
    <row r="25" spans="1:6" s="3" customFormat="1" ht="18" customHeight="1">
      <c r="A25" s="38"/>
      <c r="B25" s="36"/>
      <c r="C25" s="36"/>
      <c r="D25" s="36"/>
      <c r="E25" s="43"/>
      <c r="F25" s="26">
        <f t="shared" si="0"/>
        <v>0</v>
      </c>
    </row>
    <row r="26" spans="1:6" s="3" customFormat="1" ht="18" customHeight="1">
      <c r="A26" s="38"/>
      <c r="B26" s="36"/>
      <c r="C26" s="36"/>
      <c r="D26" s="36"/>
      <c r="E26" s="43"/>
      <c r="F26" s="26">
        <f t="shared" si="0"/>
        <v>0</v>
      </c>
    </row>
    <row r="27" spans="1:6" s="3" customFormat="1" ht="18" customHeight="1">
      <c r="A27" s="38"/>
      <c r="B27" s="36"/>
      <c r="C27" s="36"/>
      <c r="D27" s="36"/>
      <c r="E27" s="43"/>
      <c r="F27" s="26">
        <f t="shared" si="0"/>
        <v>0</v>
      </c>
    </row>
    <row r="28" spans="1:6" s="3" customFormat="1" ht="18" customHeight="1">
      <c r="A28" s="34"/>
      <c r="B28" s="37"/>
      <c r="C28" s="37"/>
      <c r="D28" s="37"/>
      <c r="E28" s="44"/>
      <c r="F28" s="26">
        <f t="shared" si="0"/>
        <v>0</v>
      </c>
    </row>
    <row r="29" spans="1:6" s="3" customFormat="1" ht="18" customHeight="1" thickBot="1">
      <c r="A29" s="19"/>
      <c r="B29" s="47" t="s">
        <v>80</v>
      </c>
      <c r="C29" s="53"/>
      <c r="D29" s="6"/>
      <c r="E29" s="52" t="s">
        <v>28</v>
      </c>
      <c r="F29" s="27">
        <f>SUM(F15:F28)</f>
        <v>0</v>
      </c>
    </row>
    <row r="30" spans="1:6" s="3" customFormat="1" ht="9" customHeight="1" thickBot="1"/>
    <row r="31" spans="1:6" s="3" customFormat="1">
      <c r="A31" s="104" t="s">
        <v>29</v>
      </c>
      <c r="B31" s="105"/>
      <c r="C31" s="45"/>
      <c r="E31" s="82" t="s">
        <v>6</v>
      </c>
      <c r="F31" s="83"/>
    </row>
    <row r="32" spans="1:6" s="3" customFormat="1" ht="25.5" customHeight="1">
      <c r="A32" s="106"/>
      <c r="B32" s="107"/>
      <c r="C32" s="46"/>
      <c r="E32" s="13"/>
      <c r="F32" s="9"/>
    </row>
    <row r="33" spans="1:6" s="3" customFormat="1" ht="6.75" customHeight="1" thickBot="1">
      <c r="A33" s="5"/>
      <c r="B33" s="7"/>
      <c r="E33" s="5"/>
      <c r="F33" s="7"/>
    </row>
    <row r="34" spans="1:6" s="3" customFormat="1" ht="13.5" thickBot="1">
      <c r="A34" s="23"/>
      <c r="B34" s="23"/>
      <c r="C34" s="23"/>
      <c r="D34" s="23"/>
      <c r="E34" s="23"/>
      <c r="F34" s="23"/>
    </row>
    <row r="35" spans="1:6" s="3" customFormat="1">
      <c r="E35" s="82" t="s">
        <v>7</v>
      </c>
      <c r="F35" s="83"/>
    </row>
    <row r="36" spans="1:6" s="3" customFormat="1" ht="25.5" customHeight="1">
      <c r="A36" s="102" t="s">
        <v>26</v>
      </c>
      <c r="B36" s="102"/>
      <c r="C36" s="45"/>
      <c r="E36" s="13"/>
      <c r="F36" s="9"/>
    </row>
    <row r="37" spans="1:6" s="3" customFormat="1" ht="6.75" customHeight="1" thickBot="1">
      <c r="E37" s="5"/>
      <c r="F37" s="7"/>
    </row>
    <row r="38" spans="1:6" s="3" customFormat="1"/>
    <row r="39" spans="1:6" s="3" customFormat="1"/>
    <row r="40" spans="1:6" s="3" customFormat="1"/>
    <row r="41" spans="1:6" s="3" customFormat="1"/>
    <row r="42" spans="1:6" s="3" customFormat="1"/>
    <row r="43" spans="1:6" s="3" customFormat="1"/>
  </sheetData>
  <sheetProtection selectLockedCells="1"/>
  <mergeCells count="8">
    <mergeCell ref="E35:F35"/>
    <mergeCell ref="A36:B36"/>
    <mergeCell ref="A31:B32"/>
    <mergeCell ref="A1:F1"/>
    <mergeCell ref="A13:F13"/>
    <mergeCell ref="E31:F31"/>
    <mergeCell ref="B3:E3"/>
    <mergeCell ref="A8:F11"/>
  </mergeCells>
  <phoneticPr fontId="2" type="noConversion"/>
  <pageMargins left="0.24" right="0.25" top="0.53" bottom="0.3" header="0.32" footer="0.24"/>
  <pageSetup paperSize="9" orientation="portrait" r:id="rId1"/>
  <headerFooter alignWithMargins="0">
    <oddHeader>&amp;C&amp;"Arial,Grassetto"Città di ALBA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Elenco prezzi</vt:lpstr>
      <vt:lpstr>Intervento straordinario</vt:lpstr>
      <vt:lpstr>Nuovo Prezzo</vt:lpstr>
      <vt:lpstr>'Intervento straordinario'!Titoli_stampa</vt:lpstr>
    </vt:vector>
  </TitlesOfParts>
  <Company>Studio elettrotecnico Per.Ind. Torelli s.s.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Rapporti di manutenzione</dc:title>
  <dc:subject>Servizio manutenzione IP</dc:subject>
  <dc:creator>Torelli Alessandro</dc:creator>
  <cp:lastModifiedBy>Alessandro Torelli</cp:lastModifiedBy>
  <cp:lastPrinted>2026-01-09T12:39:17Z</cp:lastPrinted>
  <dcterms:created xsi:type="dcterms:W3CDTF">2006-04-15T12:54:10Z</dcterms:created>
  <dcterms:modified xsi:type="dcterms:W3CDTF">2026-06-01T14:09:16Z</dcterms:modified>
</cp:coreProperties>
</file>